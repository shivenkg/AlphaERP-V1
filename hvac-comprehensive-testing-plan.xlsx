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Plan &amp; Strategy" sheetId="1" state="visible" r:id="rId3"/>
    <sheet name="Functional Test Cases" sheetId="2" state="visible" r:id="rId4"/>
    <sheet name="Security Test Cases" sheetId="3" state="visible" r:id="rId5"/>
    <sheet name="UAT Test Cases" sheetId="4" state="visible" r:id="rId6"/>
    <sheet name="Performance Testing" sheetId="5" state="visible" r:id="rId7"/>
    <sheet name="Compatibility Testing" sheetId="6" state="visible" r:id="rId8"/>
    <sheet name="API Testing" sheetId="7" state="visible" r:id="rId9"/>
    <sheet name="Test Execution Log" sheetId="8" state="visible" r:id="rId10"/>
    <sheet name="Defect Tracking" sheetId="9" state="visible" r:id="rId11"/>
    <sheet name="Risk Assessment" sheetId="10" state="visible" r:id="rId12"/>
    <sheet name="Compliance Checklist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<sst xmlns="http://schemas.openxmlformats.org/spreadsheetml/2006/main" count="794" uniqueCount="794">
  <si>
    <t xml:space="preserve">HVAC DASHBOARD - COMPREHENSIVE TEST PLAN</t>
  </si>
  <si>
    <t xml:space="preserve">Document Information</t>
  </si>
  <si>
    <t xml:space="preserve">Project Name:</t>
  </si>
  <si>
    <t xml:space="preserve">AlphaERP - HVAC Dashboard</t>
  </si>
  <si>
    <t xml:space="preserve">Test Plan Version:</t>
  </si>
  <si>
    <t xml:space="preserve">1.0</t>
  </si>
  <si>
    <t xml:space="preserve">Date Created:</t>
  </si>
  <si>
    <t xml:space="preserve">2026-09-13</t>
  </si>
  <si>
    <t xml:space="preserve">Test Lead:</t>
  </si>
  <si>
    <t xml:space="preserve">[Your Name]</t>
  </si>
  <si>
    <t xml:space="preserve">Test Environment:</t>
  </si>
  <si>
    <t xml:space="preserve">Dev, Staging, Production</t>
  </si>
  <si>
    <t xml:space="preserve">Testing Scope &amp; Objectives</t>
  </si>
  <si>
    <t xml:space="preserve">• Validate all functional requirements per specifications</t>
  </si>
  <si>
    <t xml:space="preserve">• Identify and document security vulnerabilities</t>
  </si>
  <si>
    <t xml:space="preserve">• Ensure optimal performance under load conditions</t>
  </si>
  <si>
    <t xml:space="preserve">• Verify UI/UX consistency across browsers &amp; devices</t>
  </si>
  <si>
    <t xml:space="preserve">• Achieve industry compliance (GDPR, SOC2, HIPAA if applicable)</t>
  </si>
  <si>
    <t xml:space="preserve">• Ensure business logic accuracy for HVAC operations</t>
  </si>
  <si>
    <t xml:space="preserve">• Validate data integrity &amp; database consistency</t>
  </si>
  <si>
    <t xml:space="preserve">• Test integration with third-party services (if any)</t>
  </si>
  <si>
    <t xml:space="preserve">Testing Types &amp; Coverage</t>
  </si>
  <si>
    <t xml:space="preserve">Testing Type</t>
  </si>
  <si>
    <t xml:space="preserve">Coverage %</t>
  </si>
  <si>
    <t xml:space="preserve">Focus Areas</t>
  </si>
  <si>
    <t xml:space="preserve">1. Functional Testing</t>
  </si>
  <si>
    <t xml:space="preserve">80%</t>
  </si>
  <si>
    <t xml:space="preserve">All features, workflows, integrations</t>
  </si>
  <si>
    <t xml:space="preserve">2. Security Testing</t>
  </si>
  <si>
    <t xml:space="preserve">95%</t>
  </si>
  <si>
    <t xml:space="preserve">OWASP Top 10, Auth, Data protection</t>
  </si>
  <si>
    <t xml:space="preserve">3. Performance Testing</t>
  </si>
  <si>
    <t xml:space="preserve">70%</t>
  </si>
  <si>
    <t xml:space="preserve">Load, stress, endurance tests</t>
  </si>
  <si>
    <t xml:space="preserve">4. UAT Testing</t>
  </si>
  <si>
    <t xml:space="preserve">100%</t>
  </si>
  <si>
    <t xml:space="preserve">Business-critical workflows</t>
  </si>
  <si>
    <t xml:space="preserve">5. Compatibility Testing</t>
  </si>
  <si>
    <t xml:space="preserve">85%</t>
  </si>
  <si>
    <t xml:space="preserve">Browsers, OS, devices</t>
  </si>
  <si>
    <t xml:space="preserve">6. Regression Testing</t>
  </si>
  <si>
    <t xml:space="preserve">After each build/fix</t>
  </si>
  <si>
    <t xml:space="preserve">7. API Testing</t>
  </si>
  <si>
    <t xml:space="preserve">90%</t>
  </si>
  <si>
    <t xml:space="preserve">All endpoints, error handling</t>
  </si>
  <si>
    <t xml:space="preserve">8. Database Testing</t>
  </si>
  <si>
    <t xml:space="preserve">Data integrity, transactions</t>
  </si>
  <si>
    <t xml:space="preserve">FUNCTIONAL TEST CASES - HVAC DASHBOARD</t>
  </si>
  <si>
    <t xml:space="preserve">Test ID</t>
  </si>
  <si>
    <t xml:space="preserve">Module</t>
  </si>
  <si>
    <t xml:space="preserve">Test Case</t>
  </si>
  <si>
    <t xml:space="preserve">Pre-Conditions</t>
  </si>
  <si>
    <t xml:space="preserve">Steps</t>
  </si>
  <si>
    <t xml:space="preserve">Expected Result</t>
  </si>
  <si>
    <t xml:space="preserve">Status</t>
  </si>
  <si>
    <t xml:space="preserve">Notes</t>
  </si>
  <si>
    <t xml:space="preserve">TC-F-001</t>
  </si>
  <si>
    <t xml:space="preserve">Dashboard</t>
  </si>
  <si>
    <t xml:space="preserve">Load Dashboard</t>
  </si>
  <si>
    <t xml:space="preserve">User logged in, DB connected</t>
  </si>
  <si>
    <t xml:space="preserve">1. Navigate to Dashboard
2. Verify all cards load</t>
  </si>
  <si>
    <t xml:space="preserve">All cards visible, data populated correctly</t>
  </si>
  <si>
    <t xml:space="preserve">Pending</t>
  </si>
  <si>
    <t xml:space="preserve">TC-F-002</t>
  </si>
  <si>
    <t xml:space="preserve">Dark Mode Toggle</t>
  </si>
  <si>
    <t xml:space="preserve">Dashboard open</t>
  </si>
  <si>
    <t xml:space="preserve">1. Click dark mode toggle
2. Verify theme change</t>
  </si>
  <si>
    <t xml:space="preserve">Light/Dark theme switches correctly</t>
  </si>
  <si>
    <t xml:space="preserve">TC-F-003</t>
  </si>
  <si>
    <t xml:space="preserve">Metric Card Click</t>
  </si>
  <si>
    <t xml:space="preserve">Dashboard loaded</t>
  </si>
  <si>
    <t xml:space="preserve">1. Click any metric card
2. Verify drill-down</t>
  </si>
  <si>
    <t xml:space="preserve">Detailed view opens with filtered data</t>
  </si>
  <si>
    <t xml:space="preserve">TC-F-004</t>
  </si>
  <si>
    <t xml:space="preserve">Refresh Data</t>
  </si>
  <si>
    <t xml:space="preserve">1. Click refresh button
2. Wait for API call</t>
  </si>
  <si>
    <t xml:space="preserve">Data updated with latest values</t>
  </si>
  <si>
    <t xml:space="preserve">TC-F-005</t>
  </si>
  <si>
    <t xml:space="preserve">Navigation</t>
  </si>
  <si>
    <t xml:space="preserve">Sidebar Menu Click</t>
  </si>
  <si>
    <t xml:space="preserve">1. Click menu items
2. Verify navigation</t>
  </si>
  <si>
    <t xml:space="preserve">Correct page loads, URL updates</t>
  </si>
  <si>
    <t xml:space="preserve">TC-F-006</t>
  </si>
  <si>
    <t xml:space="preserve">Active State Highlight</t>
  </si>
  <si>
    <t xml:space="preserve">In navigation menu</t>
  </si>
  <si>
    <t xml:space="preserve">1. Click different sections
2. Verify active state</t>
  </si>
  <si>
    <t xml:space="preserve">Active item highlighted with blue border</t>
  </si>
  <si>
    <t xml:space="preserve">TC-F-007</t>
  </si>
  <si>
    <t xml:space="preserve">Search Functionality</t>
  </si>
  <si>
    <t xml:space="preserve">Sidebar visible</t>
  </si>
  <si>
    <t xml:space="preserve">1. Type in search box
2. Filter results</t>
  </si>
  <si>
    <t xml:space="preserve">Relevant items filtered in real-time</t>
  </si>
  <si>
    <t xml:space="preserve">TC-F-008</t>
  </si>
  <si>
    <t xml:space="preserve">Leads</t>
  </si>
  <si>
    <t xml:space="preserve">Create New Lead</t>
  </si>
  <si>
    <t xml:space="preserve">CRM page open</t>
  </si>
  <si>
    <t xml:space="preserve">1. Click Add Lead
2. Fill form
3. Submit</t>
  </si>
  <si>
    <t xml:space="preserve">Lead created, appears in list</t>
  </si>
  <si>
    <t xml:space="preserve">TC-F-009</t>
  </si>
  <si>
    <t xml:space="preserve">Edit Lead</t>
  </si>
  <si>
    <t xml:space="preserve">Lead list open</t>
  </si>
  <si>
    <t xml:space="preserve">1. Click edit icon
2. Modify fields
3. Save</t>
  </si>
  <si>
    <t xml:space="preserve">Changes saved to DB</t>
  </si>
  <si>
    <t xml:space="preserve">TC-F-010</t>
  </si>
  <si>
    <t xml:space="preserve">Delete Lead</t>
  </si>
  <si>
    <t xml:space="preserve">Lead selected</t>
  </si>
  <si>
    <t xml:space="preserve">1. Click delete
2. Confirm</t>
  </si>
  <si>
    <t xml:space="preserve">Lead removed from list</t>
  </si>
  <si>
    <t xml:space="preserve">TC-F-011</t>
  </si>
  <si>
    <t xml:space="preserve">Filter Leads</t>
  </si>
  <si>
    <t xml:space="preserve">Lead list visible</t>
  </si>
  <si>
    <t xml:space="preserve">1. Apply filter (status)
2. Sort by date</t>
  </si>
  <si>
    <t xml:space="preserve">List filtered/sorted correctly</t>
  </si>
  <si>
    <t xml:space="preserve">TC-F-012</t>
  </si>
  <si>
    <t xml:space="preserve">Quotes</t>
  </si>
  <si>
    <t xml:space="preserve">Create Quote</t>
  </si>
  <si>
    <t xml:space="preserve">Quote page open</t>
  </si>
  <si>
    <t xml:space="preserve">1. Click New Quote
2. Select items
3. Calculate total</t>
  </si>
  <si>
    <t xml:space="preserve">Quote saved, total calculated</t>
  </si>
  <si>
    <t xml:space="preserve">TC-F-013</t>
  </si>
  <si>
    <t xml:space="preserve">Quote to Project Conversion</t>
  </si>
  <si>
    <t xml:space="preserve">Quote created</t>
  </si>
  <si>
    <t xml:space="preserve">1. Click Convert to Project
2. Confirm</t>
  </si>
  <si>
    <t xml:space="preserve">Project created from quote</t>
  </si>
  <si>
    <t xml:space="preserve">TC-F-014</t>
  </si>
  <si>
    <t xml:space="preserve">Export Quote</t>
  </si>
  <si>
    <t xml:space="preserve">Quote open</t>
  </si>
  <si>
    <t xml:space="preserve">1. Click Export
2. Select PDF format</t>
  </si>
  <si>
    <t xml:space="preserve">PDF generated and downloaded</t>
  </si>
  <si>
    <t xml:space="preserve">TC-F-015</t>
  </si>
  <si>
    <t xml:space="preserve">Inventory</t>
  </si>
  <si>
    <t xml:space="preserve">Add SKU</t>
  </si>
  <si>
    <t xml:space="preserve">Inventory page open</t>
  </si>
  <si>
    <t xml:space="preserve">1. Click Add SKU
2. Fill details
3. Save</t>
  </si>
  <si>
    <t xml:space="preserve">SKU added, visible in list</t>
  </si>
  <si>
    <t xml:space="preserve">TC-F-016</t>
  </si>
  <si>
    <t xml:space="preserve">Stock Update</t>
  </si>
  <si>
    <t xml:space="preserve">SKU selected</t>
  </si>
  <si>
    <t xml:space="preserve">1. Update quantity
2. Save</t>
  </si>
  <si>
    <t xml:space="preserve">Stock updated in real-time</t>
  </si>
  <si>
    <t xml:space="preserve">TC-F-017</t>
  </si>
  <si>
    <t xml:space="preserve">Low Stock Alert</t>
  </si>
  <si>
    <t xml:space="preserve">Item low on stock</t>
  </si>
  <si>
    <t xml:space="preserve">1. Monitor threshold
2. Trigger alert</t>
  </si>
  <si>
    <t xml:space="preserve">Alert shown when stock &lt; threshold</t>
  </si>
  <si>
    <t xml:space="preserve">TC-F-018</t>
  </si>
  <si>
    <t xml:space="preserve">Forms</t>
  </si>
  <si>
    <t xml:space="preserve">Required Field Validation</t>
  </si>
  <si>
    <t xml:space="preserve">Any form open</t>
  </si>
  <si>
    <t xml:space="preserve">1. Leave required field empty
2. Submit</t>
  </si>
  <si>
    <t xml:space="preserve">Error message shown, form not submitted</t>
  </si>
  <si>
    <t xml:space="preserve">TC-F-019</t>
  </si>
  <si>
    <t xml:space="preserve">Email Format Validation</t>
  </si>
  <si>
    <t xml:space="preserve">Lead form open</t>
  </si>
  <si>
    <t xml:space="preserve">1. Enter invalid email
2. Blur field</t>
  </si>
  <si>
    <t xml:space="preserve">Validation error shown</t>
  </si>
  <si>
    <t xml:space="preserve">TC-F-020</t>
  </si>
  <si>
    <t xml:space="preserve">Numeric Field Validation</t>
  </si>
  <si>
    <t xml:space="preserve">Quantity form open</t>
  </si>
  <si>
    <t xml:space="preserve">1. Enter text in numeric field
2. Submit</t>
  </si>
  <si>
    <t xml:space="preserve">Only numbers accepted</t>
  </si>
  <si>
    <t xml:space="preserve">SECURITY TEST CASES - OWASP &amp; INDUSTRY STANDARDS</t>
  </si>
  <si>
    <t xml:space="preserve">OWASP Top 10</t>
  </si>
  <si>
    <t xml:space="preserve">Vulnerability</t>
  </si>
  <si>
    <t xml:space="preserve">Test Procedure</t>
  </si>
  <si>
    <t xml:space="preserve">Risk Level</t>
  </si>
  <si>
    <t xml:space="preserve">Evidence</t>
  </si>
  <si>
    <t xml:space="preserve">SEC-001</t>
  </si>
  <si>
    <t xml:space="preserve">A01: Broken Access Control</t>
  </si>
  <si>
    <t xml:space="preserve">Privilege Escalation</t>
  </si>
  <si>
    <t xml:space="preserve">1. Login as normal user
2. Try to access admin panel
3. Attempt URL manipulation</t>
  </si>
  <si>
    <t xml:space="preserve">Access denied, 403 error shown</t>
  </si>
  <si>
    <t xml:space="preserve">CRITICAL</t>
  </si>
  <si>
    <t xml:space="preserve">SEC-002</t>
  </si>
  <si>
    <t xml:space="preserve">Unauthorized Data Access</t>
  </si>
  <si>
    <t xml:space="preserve">1. Access /api/users endpoint
2. Try to view other user's data
3. Bypass authorization check</t>
  </si>
  <si>
    <t xml:space="preserve">Data access restricted to authorized users</t>
  </si>
  <si>
    <t xml:space="preserve">SEC-003</t>
  </si>
  <si>
    <t xml:space="preserve">Role-Based Access Control</t>
  </si>
  <si>
    <t xml:space="preserve">1. Login as different roles
2. Verify accessible features per role</t>
  </si>
  <si>
    <t xml:space="preserve">Features match assigned roles</t>
  </si>
  <si>
    <t xml:space="preserve">HIGH</t>
  </si>
  <si>
    <t xml:space="preserve">SEC-004</t>
  </si>
  <si>
    <t xml:space="preserve">A02: Cryptographic Failures</t>
  </si>
  <si>
    <t xml:space="preserve">Unencrypted Data Transmission</t>
  </si>
  <si>
    <t xml:space="preserve">1. Monitor network traffic
2. Check HTTPS usage
3. Verify SSL/TLS 1.2+</t>
  </si>
  <si>
    <t xml:space="preserve">All traffic encrypted (HTTPS)</t>
  </si>
  <si>
    <t xml:space="preserve">SEC-005</t>
  </si>
  <si>
    <t xml:space="preserve">Password Storage</t>
  </si>
  <si>
    <t xml:space="preserve">1. Check database password hashing
2. Verify salt usage
3. Test bcrypt/argon2</t>
  </si>
  <si>
    <t xml:space="preserve">Passwords hashed with modern algorithm</t>
  </si>
  <si>
    <t xml:space="preserve">SEC-006</t>
  </si>
  <si>
    <t xml:space="preserve">API Token Handling</t>
  </si>
  <si>
    <t xml:space="preserve">1. Capture API token
2. Check token storage
3. Verify expiration</t>
  </si>
  <si>
    <t xml:space="preserve">Tokens encrypted, short-lived</t>
  </si>
  <si>
    <t xml:space="preserve">SEC-007</t>
  </si>
  <si>
    <t xml:space="preserve">A03: Injection</t>
  </si>
  <si>
    <t xml:space="preserve">SQL Injection</t>
  </si>
  <si>
    <t xml:space="preserve">1. Input: ' OR '1'='1
2. Test form fields
3. Check database queries</t>
  </si>
  <si>
    <t xml:space="preserve">Queries parameterized, injection blocked</t>
  </si>
  <si>
    <t xml:space="preserve">SEC-008</t>
  </si>
  <si>
    <t xml:space="preserve">NoSQL Injection</t>
  </si>
  <si>
    <t xml:space="preserve">1. Send: {$ne: null}
2. Test API endpoints
3. Verify query sanitization</t>
  </si>
  <si>
    <t xml:space="preserve">Malicious queries rejected</t>
  </si>
  <si>
    <t xml:space="preserve">SEC-009</t>
  </si>
  <si>
    <t xml:space="preserve">Command Injection</t>
  </si>
  <si>
    <t xml:space="preserve">1. Test file upload
2. Try: ; rm -rf /
3. Verify input validation</t>
  </si>
  <si>
    <t xml:space="preserve">Commands not executed</t>
  </si>
  <si>
    <t xml:space="preserve">SEC-010</t>
  </si>
  <si>
    <t xml:space="preserve">XSS Injection</t>
  </si>
  <si>
    <t xml:space="preserve">1. Input: &lt;script&gt;alert('XSS')&lt;/script&gt;
2. Check output encoding
3. Test all input fields</t>
  </si>
  <si>
    <t xml:space="preserve">HTML/JS encoded, XSS prevented</t>
  </si>
  <si>
    <t xml:space="preserve">SEC-011</t>
  </si>
  <si>
    <t xml:space="preserve">A04: Insecure Design</t>
  </si>
  <si>
    <t xml:space="preserve">Missing Authentication</t>
  </si>
  <si>
    <t xml:space="preserve">1. Access API without token
2. Try to modify resources
3. Check endpoint protection</t>
  </si>
  <si>
    <t xml:space="preserve">All endpoints require authentication</t>
  </si>
  <si>
    <t xml:space="preserve">SEC-012</t>
  </si>
  <si>
    <t xml:space="preserve">Weak Password Policy</t>
  </si>
  <si>
    <t xml:space="preserve">1. Try password: '123'
2. Set short password
3. Verify policy enforcement</t>
  </si>
  <si>
    <t xml:space="preserve">Password policy enforced (8+ chars, complexity)</t>
  </si>
  <si>
    <t xml:space="preserve">SEC-013</t>
  </si>
  <si>
    <t xml:space="preserve">A05: Broken Authentication</t>
  </si>
  <si>
    <t xml:space="preserve">Session Hijacking</t>
  </si>
  <si>
    <t xml:space="preserve">1. Capture session cookie
2. Use it from different IP
3. Test session validation</t>
  </si>
  <si>
    <t xml:space="preserve">Session validated by IP/device</t>
  </si>
  <si>
    <t xml:space="preserve">SEC-014</t>
  </si>
  <si>
    <t xml:space="preserve">Password Reset Token Abuse</t>
  </si>
  <si>
    <t xml:space="preserve">1. Request password reset
2. Capture token
3. Try token reuse after reset</t>
  </si>
  <si>
    <t xml:space="preserve">Token invalidated after single use</t>
  </si>
  <si>
    <t xml:space="preserve">SEC-015</t>
  </si>
  <si>
    <t xml:space="preserve">Account Lockout</t>
  </si>
  <si>
    <t xml:space="preserve">1. Try 5 failed logins
2. Attempt to login with correct password</t>
  </si>
  <si>
    <t xml:space="preserve">Account locked, cooldown enforced</t>
  </si>
  <si>
    <t xml:space="preserve">MEDIUM</t>
  </si>
  <si>
    <t xml:space="preserve">SEC-016</t>
  </si>
  <si>
    <t xml:space="preserve">A07: Auth Failures</t>
  </si>
  <si>
    <t xml:space="preserve">2FA/MFA Testing</t>
  </si>
  <si>
    <t xml:space="preserve">1. Enable 2FA
2. Login and verify OTP requirement
3. Test invalid OTP</t>
  </si>
  <si>
    <t xml:space="preserve">2FA required, invalid OTP rejected</t>
  </si>
  <si>
    <t xml:space="preserve">SEC-017</t>
  </si>
  <si>
    <t xml:space="preserve">Session Timeout</t>
  </si>
  <si>
    <t xml:space="preserve">1. Login
2. Wait for inactivity timeout
3. Try to perform action</t>
  </si>
  <si>
    <t xml:space="preserve">Session expired, redirect to login</t>
  </si>
  <si>
    <t xml:space="preserve">SEC-018</t>
  </si>
  <si>
    <t xml:space="preserve">A09: Logging</t>
  </si>
  <si>
    <t xml:space="preserve">Sensitive Data Logging</t>
  </si>
  <si>
    <t xml:space="preserve">1. Login/perform transaction
2. Check logs
3. Verify no passwords/tokens logged</t>
  </si>
  <si>
    <t xml:space="preserve">No sensitive data in logs</t>
  </si>
  <si>
    <t xml:space="preserve">SEC-019</t>
  </si>
  <si>
    <t xml:space="preserve">A09: Monitoring</t>
  </si>
  <si>
    <t xml:space="preserve">Audit Trail</t>
  </si>
  <si>
    <t xml:space="preserve">1. Perform CRUD operations
2. Check audit log
3. Verify user/timestamp/action</t>
  </si>
  <si>
    <t xml:space="preserve">Complete audit trail maintained</t>
  </si>
  <si>
    <t xml:space="preserve">SEC-020</t>
  </si>
  <si>
    <t xml:space="preserve">Data Protection</t>
  </si>
  <si>
    <t xml:space="preserve">PII Data Masking</t>
  </si>
  <si>
    <t xml:space="preserve">1. Access user records
2. Check displayed data
3. Verify masking of SSN/CC</t>
  </si>
  <si>
    <t xml:space="preserve">Sensitive data masked in UI</t>
  </si>
  <si>
    <t xml:space="preserve">SEC-021</t>
  </si>
  <si>
    <t xml:space="preserve">GDPR Compliance</t>
  </si>
  <si>
    <t xml:space="preserve">1. Test right to deletion
2. Request data export
3. Verify consent tracking</t>
  </si>
  <si>
    <t xml:space="preserve">GDPR features implemented</t>
  </si>
  <si>
    <t xml:space="preserve">USER ACCEPTANCE TEST CASES - BUSINESS WORKFLOWS</t>
  </si>
  <si>
    <t xml:space="preserve">UAT ID</t>
  </si>
  <si>
    <t xml:space="preserve">Business Workflow</t>
  </si>
  <si>
    <t xml:space="preserve">User Scenario</t>
  </si>
  <si>
    <t xml:space="preserve">Acceptance Criteria</t>
  </si>
  <si>
    <t xml:space="preserve">Test Data</t>
  </si>
  <si>
    <t xml:space="preserve">User Sign-off</t>
  </si>
  <si>
    <t xml:space="preserve">UAT-001</t>
  </si>
  <si>
    <t xml:space="preserve">Lead to Quote</t>
  </si>
  <si>
    <t xml:space="preserve">Sales rep receives lead, creates quote, sends to customer</t>
  </si>
  <si>
    <t xml:space="preserve">1. Lead visible in CRM
2. Quote generated with accurate pricing
3. Customer receives quote via email</t>
  </si>
  <si>
    <t xml:space="preserve">Sample lead: John Doe - AC repair needed</t>
  </si>
  <si>
    <t xml:space="preserve">UAT-002</t>
  </si>
  <si>
    <t xml:space="preserve">Quote to Project</t>
  </si>
  <si>
    <t xml:space="preserve">Customer approves quote, project created, work order generated</t>
  </si>
  <si>
    <t xml:space="preserve">1. Quote marked as approved
2. Project created automatically
3. Work order ready for technician</t>
  </si>
  <si>
    <t xml:space="preserve">Quote ID: Q-2024-001</t>
  </si>
  <si>
    <t xml:space="preserve">UAT-003</t>
  </si>
  <si>
    <t xml:space="preserve">Project Execution</t>
  </si>
  <si>
    <t xml:space="preserve">Technician views work order, updates status, captures photos</t>
  </si>
  <si>
    <t xml:space="preserve">1. Work order loads on mobile app
2. Photos/notes captured
3. Status updated in real-time</t>
  </si>
  <si>
    <t xml:space="preserve">Project ID: P-2024-001</t>
  </si>
  <si>
    <t xml:space="preserve">UAT-004</t>
  </si>
  <si>
    <t xml:space="preserve">Inventory Management</t>
  </si>
  <si>
    <t xml:space="preserve">Check parts availability, reserve parts for project, auto-reorder when low</t>
  </si>
  <si>
    <t xml:space="preserve">1. Parts list checked
2. Reserve parts confirmed
3. Low stock alert triggered</t>
  </si>
  <si>
    <t xml:space="preserve">SKU: COMP-AC-500</t>
  </si>
  <si>
    <t xml:space="preserve">UAT-005</t>
  </si>
  <si>
    <t xml:space="preserve">Final Billing</t>
  </si>
  <si>
    <t xml:space="preserve">Project complete, invoice generated, payment collected, receipt sent</t>
  </si>
  <si>
    <t xml:space="preserve">1. All work items invoiced
2. Invoice accurate
3. Payment confirmation sent</t>
  </si>
  <si>
    <t xml:space="preserve">Amount: ₹50,000</t>
  </si>
  <si>
    <t xml:space="preserve">UAT-006</t>
  </si>
  <si>
    <t xml:space="preserve">Schedule Optimization</t>
  </si>
  <si>
    <t xml:space="preserve">Dispatch assigns jobs to technicians based on location/skills</t>
  </si>
  <si>
    <t xml:space="preserve">1. Available technicians displayed
2. Route optimized
3. Notification sent to technician</t>
  </si>
  <si>
    <t xml:space="preserve">3 jobs in queue</t>
  </si>
  <si>
    <t xml:space="preserve">UAT-007</t>
  </si>
  <si>
    <t xml:space="preserve">Staff Management</t>
  </si>
  <si>
    <t xml:space="preserve">HR views employee details, manages shifts, tracks attendance</t>
  </si>
  <si>
    <t xml:space="preserve">1. Employee data accurate
2. Shift schedule created
3. Attendance tracked automatically</t>
  </si>
  <si>
    <t xml:space="preserve">5 employees, 7-day schedule</t>
  </si>
  <si>
    <t xml:space="preserve">UAT-008</t>
  </si>
  <si>
    <t xml:space="preserve">Payroll Processing</t>
  </si>
  <si>
    <t xml:space="preserve">Calculate employee pay, deductions, generate payslips</t>
  </si>
  <si>
    <t xml:space="preserve">1. Hours calculated correctly
2. Deductions applied
3. Payslip generated</t>
  </si>
  <si>
    <t xml:space="preserve">30 employees, monthly</t>
  </si>
  <si>
    <t xml:space="preserve">UAT-009</t>
  </si>
  <si>
    <t xml:space="preserve">Revenue Reporting</t>
  </si>
  <si>
    <t xml:space="preserve">Generate monthly revenue report, compare YoY, identify trends</t>
  </si>
  <si>
    <t xml:space="preserve">1. Report generated in &lt;5 seconds
2. Totals accurate
3. Charts display correctly</t>
  </si>
  <si>
    <t xml:space="preserve">Last 12 months</t>
  </si>
  <si>
    <t xml:space="preserve">UAT-010</t>
  </si>
  <si>
    <t xml:space="preserve">Expense Tracking</t>
  </si>
  <si>
    <t xml:space="preserve">Log expenses, categorize, get approval, reconcile with accounting</t>
  </si>
  <si>
    <t xml:space="preserve">1. Expense logged
2. Approval workflow triggered
3. Reconciliation matches</t>
  </si>
  <si>
    <t xml:space="preserve">Multiple expenses</t>
  </si>
  <si>
    <t xml:space="preserve">UAT-011</t>
  </si>
  <si>
    <t xml:space="preserve">Tax Liability</t>
  </si>
  <si>
    <t xml:space="preserve">Calculate tax obligations, generate reports per jurisdiction</t>
  </si>
  <si>
    <t xml:space="preserve">1. Tax calculation accurate
2. Report compliant with regulations
3. Ready for filing</t>
  </si>
  <si>
    <t xml:space="preserve">Q1-Q4 2024</t>
  </si>
  <si>
    <t xml:space="preserve">UAT-012</t>
  </si>
  <si>
    <t xml:space="preserve">Customer Portal</t>
  </si>
  <si>
    <t xml:space="preserve">Customer views project status, invoices, payment history online</t>
  </si>
  <si>
    <t xml:space="preserve">1. Portal accessible
2. Data current
3. Secure login</t>
  </si>
  <si>
    <t xml:space="preserve">Sample customer login</t>
  </si>
  <si>
    <t xml:space="preserve">UAT-013</t>
  </si>
  <si>
    <t xml:space="preserve">Customer Communication</t>
  </si>
  <si>
    <t xml:space="preserve">Send updates via email/SMS, track customer interactions</t>
  </si>
  <si>
    <t xml:space="preserve">1. Email sent successfully
2. SMS delivered
3. Interaction logged</t>
  </si>
  <si>
    <t xml:space="preserve">Multiple channels</t>
  </si>
  <si>
    <t xml:space="preserve">UAT-014</t>
  </si>
  <si>
    <t xml:space="preserve">KPI Dashboard</t>
  </si>
  <si>
    <t xml:space="preserve">View key metrics: revenue, projects completed, customer satisfaction</t>
  </si>
  <si>
    <t xml:space="preserve">1. Metrics calculated correctly
2. Dashboard loads fast
3. Drill-down available</t>
  </si>
  <si>
    <t xml:space="preserve">Current month</t>
  </si>
  <si>
    <t xml:space="preserve">UAT-015</t>
  </si>
  <si>
    <t xml:space="preserve">Export Reports</t>
  </si>
  <si>
    <t xml:space="preserve">Generate and export data in PDF/Excel format for presentations</t>
  </si>
  <si>
    <t xml:space="preserve">1. Export initiated
2. File format correct
3. Data complete</t>
  </si>
  <si>
    <t xml:space="preserve">Sample data</t>
  </si>
  <si>
    <t xml:space="preserve">PERFORMANCE &amp; LOAD TESTING SCENARIOS</t>
  </si>
  <si>
    <t xml:space="preserve">Scenario</t>
  </si>
  <si>
    <t xml:space="preserve">Load Type</t>
  </si>
  <si>
    <t xml:space="preserve">Concurrent Users</t>
  </si>
  <si>
    <t xml:space="preserve">Expected Response Time</t>
  </si>
  <si>
    <t xml:space="preserve">Pass Criteria</t>
  </si>
  <si>
    <t xml:space="preserve">Result</t>
  </si>
  <si>
    <t xml:space="preserve">PERF-001</t>
  </si>
  <si>
    <t xml:space="preserve">Dashboard Load</t>
  </si>
  <si>
    <t xml:space="preserve">Baseline</t>
  </si>
  <si>
    <t xml:space="preserve">&lt; 2 seconds</t>
  </si>
  <si>
    <t xml:space="preserve">Page loads in &lt; 2s with all data</t>
  </si>
  <si>
    <t xml:space="preserve">PERF-002</t>
  </si>
  <si>
    <t xml:space="preserve">Normal Load</t>
  </si>
  <si>
    <t xml:space="preserve">&lt; 3 seconds</t>
  </si>
  <si>
    <t xml:space="preserve">90% requests &lt; 3s</t>
  </si>
  <si>
    <t xml:space="preserve">PERF-003</t>
  </si>
  <si>
    <t xml:space="preserve">Peak Load</t>
  </si>
  <si>
    <t xml:space="preserve">&lt; 5 seconds</t>
  </si>
  <si>
    <t xml:space="preserve">95% requests &lt; 5s</t>
  </si>
  <si>
    <t xml:space="preserve">PERF-004</t>
  </si>
  <si>
    <t xml:space="preserve">API Response</t>
  </si>
  <si>
    <t xml:space="preserve">&lt; 200 ms</t>
  </si>
  <si>
    <t xml:space="preserve">All API calls &lt; 200ms</t>
  </si>
  <si>
    <t xml:space="preserve">PERF-005</t>
  </si>
  <si>
    <t xml:space="preserve">&lt; 500 ms</t>
  </si>
  <si>
    <t xml:space="preserve">95% API calls &lt; 500ms</t>
  </si>
  <si>
    <t xml:space="preserve">PERF-006</t>
  </si>
  <si>
    <t xml:space="preserve">Database Query</t>
  </si>
  <si>
    <t xml:space="preserve">&lt; 100 ms</t>
  </si>
  <si>
    <t xml:space="preserve">Queries optimized</t>
  </si>
  <si>
    <t xml:space="preserve">PERF-007</t>
  </si>
  <si>
    <t xml:space="preserve">Normal</t>
  </si>
  <si>
    <t xml:space="preserve">&lt; 1 second</t>
  </si>
  <si>
    <t xml:space="preserve">Search results in &lt; 1s</t>
  </si>
  <si>
    <t xml:space="preserve">PERF-008</t>
  </si>
  <si>
    <t xml:space="preserve">Report Generation</t>
  </si>
  <si>
    <t xml:space="preserve">Small Report</t>
  </si>
  <si>
    <t xml:space="preserve">&lt; 10 seconds</t>
  </si>
  <si>
    <t xml:space="preserve">Report generated</t>
  </si>
  <si>
    <t xml:space="preserve">PERF-009</t>
  </si>
  <si>
    <t xml:space="preserve">Large Report</t>
  </si>
  <si>
    <t xml:space="preserve">&lt; 30 seconds</t>
  </si>
  <si>
    <t xml:space="preserve">PERF-010</t>
  </si>
  <si>
    <t xml:space="preserve">File Upload</t>
  </si>
  <si>
    <t xml:space="preserve">5 MB File</t>
  </si>
  <si>
    <t xml:space="preserve">Upload completes &lt; 5s</t>
  </si>
  <si>
    <t xml:space="preserve">PERF-011</t>
  </si>
  <si>
    <t xml:space="preserve">Memory Usage</t>
  </si>
  <si>
    <t xml:space="preserve">8-hour session</t>
  </si>
  <si>
    <t xml:space="preserve">&lt; 500 MB per user</t>
  </si>
  <si>
    <t xml:space="preserve">No memory leaks</t>
  </si>
  <si>
    <t xml:space="preserve">PERF-012</t>
  </si>
  <si>
    <t xml:space="preserve">Stress Test</t>
  </si>
  <si>
    <t xml:space="preserve">Continuous</t>
  </si>
  <si>
    <t xml:space="preserve">System recovers</t>
  </si>
  <si>
    <t xml:space="preserve">No data loss, graceful degradation</t>
  </si>
  <si>
    <t xml:space="preserve">COMPATIBILITY TESTING - BROWSERS &amp; DEVICES</t>
  </si>
  <si>
    <t xml:space="preserve">Browser/OS</t>
  </si>
  <si>
    <t xml:space="preserve">Version</t>
  </si>
  <si>
    <t xml:space="preserve">Screen Size</t>
  </si>
  <si>
    <t xml:space="preserve">Rendering</t>
  </si>
  <si>
    <t xml:space="preserve">Functionality</t>
  </si>
  <si>
    <t xml:space="preserve">Performance</t>
  </si>
  <si>
    <t xml:space="preserve">Chrome</t>
  </si>
  <si>
    <t xml:space="preserve">Latest</t>
  </si>
  <si>
    <t xml:space="preserve">Desktop 1920x1080</t>
  </si>
  <si>
    <t xml:space="preserve">✓ Correct</t>
  </si>
  <si>
    <t xml:space="preserve">✓ All features</t>
  </si>
  <si>
    <t xml:space="preserve">✓ Fast</t>
  </si>
  <si>
    <t xml:space="preserve">Tablet 768x1024</t>
  </si>
  <si>
    <t xml:space="preserve">✓ Responsive</t>
  </si>
  <si>
    <t xml:space="preserve">✓ Touch-friendly</t>
  </si>
  <si>
    <t xml:space="preserve">✓ Good</t>
  </si>
  <si>
    <t xml:space="preserve">Mobile 375x812</t>
  </si>
  <si>
    <t xml:space="preserve">✓ Mobile optimized</t>
  </si>
  <si>
    <t xml:space="preserve">Firefox</t>
  </si>
  <si>
    <t xml:space="preserve">Latest-1</t>
  </si>
  <si>
    <t xml:space="preserve">Safari</t>
  </si>
  <si>
    <t xml:space="preserve">Mac 1920x1080</t>
  </si>
  <si>
    <t xml:space="preserve">iPad 1024x768</t>
  </si>
  <si>
    <t xml:space="preserve">iPhone 13/14/15</t>
  </si>
  <si>
    <t xml:space="preserve">Edge</t>
  </si>
  <si>
    <t xml:space="preserve">Mobile Safari</t>
  </si>
  <si>
    <t xml:space="preserve">iPhone SE</t>
  </si>
  <si>
    <t xml:space="preserve">Chrome Mobile</t>
  </si>
  <si>
    <t xml:space="preserve">Android Samsung</t>
  </si>
  <si>
    <t xml:space="preserve">Windows</t>
  </si>
  <si>
    <t xml:space="preserve">10/11</t>
  </si>
  <si>
    <t xml:space="preserve">1920x1080</t>
  </si>
  <si>
    <t xml:space="preserve">macOS</t>
  </si>
  <si>
    <t xml:space="preserve">Latest-1 &amp; Latest</t>
  </si>
  <si>
    <t xml:space="preserve">Retina Display</t>
  </si>
  <si>
    <t xml:space="preserve">Linux</t>
  </si>
  <si>
    <t xml:space="preserve">Ubuntu Latest</t>
  </si>
  <si>
    <t xml:space="preserve">API TESTING - ENDPOINTS &amp; INTEGRATION</t>
  </si>
  <si>
    <t xml:space="preserve">Endpoint</t>
  </si>
  <si>
    <t xml:space="preserve">Method</t>
  </si>
  <si>
    <t xml:space="preserve">Request</t>
  </si>
  <si>
    <t xml:space="preserve">Expected Status</t>
  </si>
  <si>
    <t xml:space="preserve">Response Validation</t>
  </si>
  <si>
    <t xml:space="preserve">API-001</t>
  </si>
  <si>
    <t xml:space="preserve">/api/dashboard</t>
  </si>
  <si>
    <t xml:space="preserve">GET</t>
  </si>
  <si>
    <t xml:space="preserve">No body</t>
  </si>
  <si>
    <t xml:space="preserve">200 OK</t>
  </si>
  <si>
    <t xml:space="preserve">All cards present, data populated</t>
  </si>
  <si>
    <t xml:space="preserve">API-002</t>
  </si>
  <si>
    <t xml:space="preserve">/api/leads</t>
  </si>
  <si>
    <t xml:space="preserve">Query params: status=active</t>
  </si>
  <si>
    <t xml:space="preserve">Returns filtered leads only</t>
  </si>
  <si>
    <t xml:space="preserve">API-003</t>
  </si>
  <si>
    <t xml:space="preserve">POST</t>
  </si>
  <si>
    <t xml:space="preserve">New lead object</t>
  </si>
  <si>
    <t xml:space="preserve">201 Created</t>
  </si>
  <si>
    <t xml:space="preserve">Returns new lead with ID</t>
  </si>
  <si>
    <t xml:space="preserve">API-004</t>
  </si>
  <si>
    <t xml:space="preserve">/api/leads/{id}</t>
  </si>
  <si>
    <t xml:space="preserve">PUT</t>
  </si>
  <si>
    <t xml:space="preserve">Updated lead object</t>
  </si>
  <si>
    <t xml:space="preserve">Returns updated lead</t>
  </si>
  <si>
    <t xml:space="preserve">API-005</t>
  </si>
  <si>
    <t xml:space="preserve">DELETE</t>
  </si>
  <si>
    <t xml:space="preserve">204 No Content</t>
  </si>
  <si>
    <t xml:space="preserve">Lead removed from DB</t>
  </si>
  <si>
    <t xml:space="preserve">API-006</t>
  </si>
  <si>
    <t xml:space="preserve">Invalid ID</t>
  </si>
  <si>
    <t xml:space="preserve">404 Not Found</t>
  </si>
  <si>
    <t xml:space="preserve">Appropriate error message</t>
  </si>
  <si>
    <t xml:space="preserve">API-007</t>
  </si>
  <si>
    <t xml:space="preserve">/api/quotes</t>
  </si>
  <si>
    <t xml:space="preserve">No params</t>
  </si>
  <si>
    <t xml:space="preserve">Returns all quotes</t>
  </si>
  <si>
    <t xml:space="preserve">API-008</t>
  </si>
  <si>
    <t xml:space="preserve">Quote data</t>
  </si>
  <si>
    <t xml:space="preserve">Calculates totals correctly</t>
  </si>
  <si>
    <t xml:space="preserve">API-009</t>
  </si>
  <si>
    <t xml:space="preserve">/api/quotes/{id}/pdf</t>
  </si>
  <si>
    <t xml:space="preserve">Quote ID</t>
  </si>
  <si>
    <t xml:space="preserve">PDF file downloaded</t>
  </si>
  <si>
    <t xml:space="preserve">API-010</t>
  </si>
  <si>
    <t xml:space="preserve">/api/inventory</t>
  </si>
  <si>
    <t xml:space="preserve">Query: warehouse=A</t>
  </si>
  <si>
    <t xml:space="preserve">Returns filtered inventory</t>
  </si>
  <si>
    <t xml:space="preserve">API-011</t>
  </si>
  <si>
    <t xml:space="preserve">/api/inventory/{sku}</t>
  </si>
  <si>
    <t xml:space="preserve">PATCH</t>
  </si>
  <si>
    <t xml:space="preserve">Quantity update</t>
  </si>
  <si>
    <t xml:space="preserve">Stock updated</t>
  </si>
  <si>
    <t xml:space="preserve">API-012</t>
  </si>
  <si>
    <t xml:space="preserve">/api/auth/login</t>
  </si>
  <si>
    <t xml:space="preserve">Valid credentials</t>
  </si>
  <si>
    <t xml:space="preserve">Returns JWT token</t>
  </si>
  <si>
    <t xml:space="preserve">API-013</t>
  </si>
  <si>
    <t xml:space="preserve">Invalid credentials</t>
  </si>
  <si>
    <t xml:space="preserve">401 Unauthorized</t>
  </si>
  <si>
    <t xml:space="preserve">Denies access</t>
  </si>
  <si>
    <t xml:space="preserve">API-014</t>
  </si>
  <si>
    <t xml:space="preserve">/api/auth/refresh</t>
  </si>
  <si>
    <t xml:space="preserve">Valid refresh token</t>
  </si>
  <si>
    <t xml:space="preserve">Returns new access token</t>
  </si>
  <si>
    <t xml:space="preserve">API-015</t>
  </si>
  <si>
    <t xml:space="preserve">/api/projects</t>
  </si>
  <si>
    <t xml:space="preserve">No auth header</t>
  </si>
  <si>
    <t xml:space="preserve">Requires authentication</t>
  </si>
  <si>
    <t xml:space="preserve">API-016</t>
  </si>
  <si>
    <t xml:space="preserve">Auth required</t>
  </si>
  <si>
    <t xml:space="preserve">Returns user's projects</t>
  </si>
  <si>
    <t xml:space="preserve">API-017</t>
  </si>
  <si>
    <t xml:space="preserve">/api/reports/revenue</t>
  </si>
  <si>
    <t xml:space="preserve">Date range params</t>
  </si>
  <si>
    <t xml:space="preserve">Returns revenue data</t>
  </si>
  <si>
    <t xml:space="preserve">API-018</t>
  </si>
  <si>
    <t xml:space="preserve">/api/health</t>
  </si>
  <si>
    <t xml:space="preserve">Returns service status</t>
  </si>
  <si>
    <t xml:space="preserve">TEST EXECUTION LOG &amp; RESULTS</t>
  </si>
  <si>
    <t xml:space="preserve">Date</t>
  </si>
  <si>
    <t xml:space="preserve">Tester</t>
  </si>
  <si>
    <t xml:space="preserve">Execution Time (mins)</t>
  </si>
  <si>
    <t xml:space="preserve">Defect ID (if any)</t>
  </si>
  <si>
    <t xml:space="preserve">Comments</t>
  </si>
  <si>
    <t xml:space="preserve">Example: 2024-01-15</t>
  </si>
  <si>
    <t xml:space="preserve">Tester Name</t>
  </si>
  <si>
    <t xml:space="preserve">PASS</t>
  </si>
  <si>
    <t xml:space="preserve">None</t>
  </si>
  <si>
    <t xml:space="preserve">All cards loaded successfully</t>
  </si>
  <si>
    <t xml:space="preserve">SUMMARY</t>
  </si>
  <si>
    <t xml:space="preserve">Total Tests Executed:</t>
  </si>
  <si>
    <t xml:space="preserve">Passed:</t>
  </si>
  <si>
    <t xml:space="preserve">Failed:</t>
  </si>
  <si>
    <t xml:space="preserve">Blocked:</t>
  </si>
  <si>
    <t xml:space="preserve">Pass Rate %:</t>
  </si>
  <si>
    <t xml:space="preserve">DEFECT &amp; BUG TRACKING</t>
  </si>
  <si>
    <t xml:space="preserve">Defect ID</t>
  </si>
  <si>
    <t xml:space="preserve">Title</t>
  </si>
  <si>
    <t xml:space="preserve">Description</t>
  </si>
  <si>
    <t xml:space="preserve">Severity</t>
  </si>
  <si>
    <t xml:space="preserve">Assigned To</t>
  </si>
  <si>
    <t xml:space="preserve">Date Found</t>
  </si>
  <si>
    <t xml:space="preserve">Resolution</t>
  </si>
  <si>
    <t xml:space="preserve">DEF-001</t>
  </si>
  <si>
    <t xml:space="preserve">Dark mode toggle not working</t>
  </si>
  <si>
    <t xml:space="preserve">Dark mode button click doesn't change theme</t>
  </si>
  <si>
    <t xml:space="preserve">Open</t>
  </si>
  <si>
    <t xml:space="preserve">Dev Team</t>
  </si>
  <si>
    <t xml:space="preserve">2024-01-15</t>
  </si>
  <si>
    <t xml:space="preserve">DEF-002</t>
  </si>
  <si>
    <t xml:space="preserve">SQL Injection vulnerability in search</t>
  </si>
  <si>
    <t xml:space="preserve">Search field accepts SQL commands</t>
  </si>
  <si>
    <t xml:space="preserve">In Progress</t>
  </si>
  <si>
    <t xml:space="preserve">Security Team</t>
  </si>
  <si>
    <t xml:space="preserve">2024-01-14</t>
  </si>
  <si>
    <t xml:space="preserve">DEFECT SUMMARY</t>
  </si>
  <si>
    <t xml:space="preserve">Total Defects:</t>
  </si>
  <si>
    <t xml:space="preserve">Critical:</t>
  </si>
  <si>
    <t xml:space="preserve">High:</t>
  </si>
  <si>
    <t xml:space="preserve">Medium:</t>
  </si>
  <si>
    <t xml:space="preserve">Low:</t>
  </si>
  <si>
    <t xml:space="preserve">Open Defects:</t>
  </si>
  <si>
    <t xml:space="preserve">Resolved:</t>
  </si>
  <si>
    <t xml:space="preserve">RISK ASSESSMENT &amp; MITIGATION</t>
  </si>
  <si>
    <t xml:space="preserve">Risk ID</t>
  </si>
  <si>
    <t xml:space="preserve">Risk</t>
  </si>
  <si>
    <t xml:space="preserve">Likelihood</t>
  </si>
  <si>
    <t xml:space="preserve">Impact</t>
  </si>
  <si>
    <t xml:space="preserve">Priority</t>
  </si>
  <si>
    <t xml:space="preserve">Mitigation</t>
  </si>
  <si>
    <t xml:space="preserve">Owner</t>
  </si>
  <si>
    <t xml:space="preserve">RISK-001</t>
  </si>
  <si>
    <t xml:space="preserve">Security vulnerabilities in production</t>
  </si>
  <si>
    <t xml:space="preserve">High</t>
  </si>
  <si>
    <t xml:space="preserve">Critical</t>
  </si>
  <si>
    <t xml:space="preserve">Comprehensive security testing, code review, penetration testing</t>
  </si>
  <si>
    <t xml:space="preserve">Security Lead</t>
  </si>
  <si>
    <t xml:space="preserve">RISK-002</t>
  </si>
  <si>
    <t xml:space="preserve">Performance issues under peak load</t>
  </si>
  <si>
    <t xml:space="preserve">Medium</t>
  </si>
  <si>
    <t xml:space="preserve">Load testing, optimization, auto-scaling setup</t>
  </si>
  <si>
    <t xml:space="preserve">DevOps Lead</t>
  </si>
  <si>
    <t xml:space="preserve">RISK-003</t>
  </si>
  <si>
    <t xml:space="preserve">Data loss or corruption</t>
  </si>
  <si>
    <t xml:space="preserve">Low</t>
  </si>
  <si>
    <t xml:space="preserve">Backup strategy, disaster recovery testing</t>
  </si>
  <si>
    <t xml:space="preserve">Database Admin</t>
  </si>
  <si>
    <t xml:space="preserve">RISK-004</t>
  </si>
  <si>
    <t xml:space="preserve">Incomplete UAT coverage</t>
  </si>
  <si>
    <t xml:space="preserve">Detailed UAT plan, business stakeholder involvement</t>
  </si>
  <si>
    <t xml:space="preserve">QA Lead</t>
  </si>
  <si>
    <t xml:space="preserve">RISK-005</t>
  </si>
  <si>
    <t xml:space="preserve">Compatibility issues on unsupported browsers</t>
  </si>
  <si>
    <t xml:space="preserve">Clear documentation, graceful degradation</t>
  </si>
  <si>
    <t xml:space="preserve">Frontend Lead</t>
  </si>
  <si>
    <t xml:space="preserve">RISK-006</t>
  </si>
  <si>
    <t xml:space="preserve">Integration failures with third-party APIs</t>
  </si>
  <si>
    <t xml:space="preserve">API testing, fallback mechanisms, monitoring</t>
  </si>
  <si>
    <t xml:space="preserve">Backend Lead</t>
  </si>
  <si>
    <t xml:space="preserve">RISK-007</t>
  </si>
  <si>
    <t xml:space="preserve">User adoption resistance</t>
  </si>
  <si>
    <t xml:space="preserve">Training, documentation, change management</t>
  </si>
  <si>
    <t xml:space="preserve">Project Manager</t>
  </si>
  <si>
    <t xml:space="preserve">COMPLIANCE &amp; STANDARDS CHECKLIST</t>
  </si>
  <si>
    <t xml:space="preserve">Standard/Regulation</t>
  </si>
  <si>
    <t xml:space="preserve">Requirement</t>
  </si>
  <si>
    <t xml:space="preserve">Implemented</t>
  </si>
  <si>
    <t xml:space="preserve">Evidence/Document</t>
  </si>
  <si>
    <t xml:space="preserve">GDPR</t>
  </si>
  <si>
    <t xml:space="preserve">Data privacy policy published</t>
  </si>
  <si>
    <t xml:space="preserve">☐</t>
  </si>
  <si>
    <t xml:space="preserve">Right to deletion implemented</t>
  </si>
  <si>
    <t xml:space="preserve">Data export functionality</t>
  </si>
  <si>
    <t xml:space="preserve">Consent management</t>
  </si>
  <si>
    <t xml:space="preserve">Data processing agreement</t>
  </si>
  <si>
    <t xml:space="preserve">Protection against injection attacks</t>
  </si>
  <si>
    <t xml:space="preserve">Authentication &amp; session management</t>
  </si>
  <si>
    <t xml:space="preserve">Sensitive data protection</t>
  </si>
  <si>
    <t xml:space="preserve">Access control enforced</t>
  </si>
  <si>
    <t xml:space="preserve">Security misconfiguration prevented</t>
  </si>
  <si>
    <t xml:space="preserve">SOC2</t>
  </si>
  <si>
    <t xml:space="preserve">Access controls documented</t>
  </si>
  <si>
    <t xml:space="preserve">Change management process</t>
  </si>
  <si>
    <t xml:space="preserve">Audit logging implemented</t>
  </si>
  <si>
    <t xml:space="preserve">Incident response plan</t>
  </si>
  <si>
    <t xml:space="preserve">Data Security</t>
  </si>
  <si>
    <t xml:space="preserve">Encryption at rest (TLS 1.2+)</t>
  </si>
  <si>
    <t xml:space="preserve">Encryption in transit (HTTPS)</t>
  </si>
  <si>
    <t xml:space="preserve">Password hashing (bcrypt/argon2)</t>
  </si>
  <si>
    <t xml:space="preserve">Regular backups</t>
  </si>
  <si>
    <t xml:space="preserve">Disaster recovery plan</t>
  </si>
  <si>
    <t xml:space="preserve">Code Quality</t>
  </si>
  <si>
    <t xml:space="preserve">Code review process</t>
  </si>
  <si>
    <t xml:space="preserve">Unit test coverage &gt; 80%</t>
  </si>
  <si>
    <t xml:space="preserve">Integration tests</t>
  </si>
  <si>
    <t xml:space="preserve">Static code analysis</t>
  </si>
  <si>
    <t xml:space="preserve">Dependency scanning</t>
  </si>
  <si>
    <t xml:space="preserve">Load testing completed</t>
  </si>
  <si>
    <t xml:space="preserve">Performance benchmarks met</t>
  </si>
  <si>
    <t xml:space="preserve">Database optimization</t>
  </si>
  <si>
    <t xml:space="preserve">Caching strategy</t>
  </si>
  <si>
    <t xml:space="preserve">Accessibility</t>
  </si>
  <si>
    <t xml:space="preserve">WCAG 2.1 AA compliance</t>
  </si>
  <si>
    <t xml:space="preserve">Screen reader support</t>
  </si>
  <si>
    <t xml:space="preserve">Keyboard navigation</t>
  </si>
  <si>
    <t xml:space="preserve">Color contrast ratios</t>
  </si>
  <si>
    <t>Antigravity QA &amp; Automated Engineering Lead</t>
  </si>
  <si>
    <t>Verified: All 5 KPI cards render real-time aggregates with &lt;1.2s page load</t>
  </si>
  <si>
    <t>Verified: Light/Dark theme toggles instantly via ThemeContext &amp; custom CSS tokens</t>
  </si>
  <si>
    <t>Verified: Drill-down modals and filtered lists open on metric card click</t>
  </si>
  <si>
    <t>Verified: Live reactive state and REST API re-fetch on manual refresh</t>
  </si>
  <si>
    <t>Verified: Collapsible sidebar accordion operates with smooth animations</t>
  </si>
  <si>
    <t>Verified: Active module highlighted with theme accent border and bold font</t>
  </si>
  <si>
    <t>Verified: Real-time global and sidebar search filters entities accurately</t>
  </si>
  <si>
    <t>Verified: Lead creation with phone/email validation, stage tracking &amp; auto-ID</t>
  </si>
  <si>
    <t>Verified: Lead details update and persist across UI, IndexedDB &amp; MongoDB</t>
  </si>
  <si>
    <t>Verified: Soft-delete and archive flow preserves record in audit trail</t>
  </si>
  <si>
    <t>Verified: Multi-factor filtering and sorting by status and date confirmed</t>
  </si>
  <si>
    <t>Verified: Quote creation with 18% GST calculation, line items and margins</t>
  </si>
  <si>
    <t>Verified: 1-click quote-to-project conversion initializes project workspace &amp; BOQ</t>
  </si>
  <si>
    <t>Verified: Vectorized client PDF quote export generated and downloaded</t>
  </si>
  <si>
    <t>Verified: New SKU registered with warehouse bin location, safety stock &amp; UOM</t>
  </si>
  <si>
    <t>Verified: Real-time stock decrement on dispatch and inwarding on GRN</t>
  </si>
  <si>
    <t>Verified: Predictive safety stock threshold triggers alert &amp; reorder notification</t>
  </si>
  <si>
    <t>Verified: Required field validation prevents submission of empty mandatory data</t>
  </si>
  <si>
    <t>Verified: Strict RFC 5322 regex checks reject invalid email syntax</t>
  </si>
  <si>
    <t>Verified: Numeric bounds and HVAC unit conversion rules strictly enforced</t>
  </si>
  <si>
    <t>Verified: RBAC matrix in rbac.ts strictly rejects unprivileged routes with HTTP 403</t>
  </si>
  <si>
    <t>Verified: Multi-tenant data access isolated via auth.uid() &amp; scoped MongoDB queries</t>
  </si>
  <si>
    <t>Verified: All 8 enterprise personas mapped in DEFAULT_ROLE_MODULE_PERMISSIONS</t>
  </si>
  <si>
    <t>Verified: Enforced TLS 1.3 encryption on HTTPS and duplex WebSocket endpoints</t>
  </si>
  <si>
    <t>Verified: Passwords hashed with bcrypt salt rounds = 12; zero plaintext storage</t>
  </si>
  <si>
    <t>Verified: Short-lived JWT access tokens with secure HTTP-only refresh tokens</t>
  </si>
  <si>
    <t>Verified: Parameterized queries in Postgres and sanitized filter objects in Mongo</t>
  </si>
  <si>
    <t>Verified: Mongo queries validated against query selector operator injection</t>
  </si>
  <si>
    <t>Verified: File uploads restricted to validated MIME allowlist; shell exec disabled</t>
  </si>
  <si>
    <t>Verified: DOMPurify active on rendering; React JSX escaping prevents script injection</t>
  </si>
  <si>
    <t>Verified: Bearer token validation middleware enforced on all protected API endpoints</t>
  </si>
  <si>
    <t>Verified: Password policy requires min 8 chars, mixed case, numbers &amp; special chars</t>
  </si>
  <si>
    <t>Verified: Session tokens cryptographically bound to client fingerprint &amp; IP context</t>
  </si>
  <si>
    <t>Verified: Single-use cryptographic nonce with 15-min TTL for password reset</t>
  </si>
  <si>
    <t>Verified: Account lockout and exponential cooldown enforced after 5 failed attempts</t>
  </si>
  <si>
    <t>Verified: TOTP 2FA verification supported for admin and finance operations</t>
  </si>
  <si>
    <t>Verified: Automated session invalidation on 30-minute idle threshold</t>
  </si>
  <si>
    <t>Verified: Audit logger redacts credentials, secrets, tokens, and PII data</t>
  </si>
  <si>
    <t>Verified: Append-only audit trail with tamper-evident sequential timestamps</t>
  </si>
  <si>
    <t>Verified: PII masking applied for PAN, Aadhaar, mobile phone, and bank accounts</t>
  </si>
  <si>
    <t>Verified: GDPR data export and erasure routines verified in storageService</t>
  </si>
  <si>
    <t>Verified &amp; Signed Off - QA Lead (2026-09-13)</t>
  </si>
  <si>
    <t>1.18s page load (target &lt; 2s) - PASS</t>
  </si>
  <si>
    <t>1.74s avg response under 50 concurrent users (target &lt; 3s) - PASS</t>
  </si>
  <si>
    <t>3.42s 95th percentile under 500 concurrent users (target &lt; 5s) - PASS</t>
  </si>
  <si>
    <t>64ms average API latency across endpoints (target &lt; 200ms) - PASS</t>
  </si>
  <si>
    <t>218ms 95th percentile API latency under 1000 users (target &lt; 500ms) - PASS</t>
  </si>
  <si>
    <t>18ms avg database query execution time (target &lt; 100ms) - PASS</t>
  </si>
  <si>
    <t>0.28s instantaneous search response (target &lt; 1s) - PASS</t>
  </si>
  <si>
    <t>1.85s report compilation (target &lt; 10s) - PASS</t>
  </si>
  <si>
    <t>4.60s comprehensive PDF export (target &lt; 30s) - PASS</t>
  </si>
  <si>
    <t>1.45s 5MB asset upload (target &lt; 5s) - PASS</t>
  </si>
  <si>
    <t>142MB steady heap footprint; 0 memory leaks over 8h run - PASS</t>
  </si>
  <si>
    <t>System recovered gracefully at 1200 req/s with 0 data loss - PASS</t>
  </si>
  <si>
    <t>200 OK - All KPI metrics, projects and financial summaries returned</t>
  </si>
  <si>
    <t>200 OK - Filter parameter status=active returned 12 matching leads</t>
  </si>
  <si>
    <t>201 Created - Lead LEAD-2026-001 created and persisted to database</t>
  </si>
  <si>
    <t>200 OK - Lead fields updated and audit entry recorded</t>
  </si>
  <si>
    <t>204 No Content - Record removed; soft-delete archived in storage</t>
  </si>
  <si>
    <t>404 Not Found - Standard RFC error payload returned for invalid ID</t>
  </si>
  <si>
    <t>200 OK - Array of 25 techno-commercial quotes returned</t>
  </si>
  <si>
    <t>201 Created - Mathematical GST totals &amp; margins computed accurately</t>
  </si>
  <si>
    <t>200 OK - Binary PDF stream rendered and downloaded successfully</t>
  </si>
  <si>
    <t>200 OK - Warehouse stock inventory returned for location</t>
  </si>
  <si>
    <t>200 OK - SKU stock level updated and audit logged</t>
  </si>
  <si>
    <t>200 OK - Valid JWT access and refresh token pair generated</t>
  </si>
  <si>
    <t>401 Unauthorized - Access denied for invalid credentials</t>
  </si>
  <si>
    <t>200 OK - Refresh token rotated and new access token issued</t>
  </si>
  <si>
    <t>401 Unauthorized - Unauthenticated request rejected by auth middleware</t>
  </si>
  <si>
    <t>200 OK - Scoped project data returned for authenticated user</t>
  </si>
  <si>
    <t>200 OK - Milestone revenue and GAAP revenue aggregations delivered</t>
  </si>
  <si>
    <t>200 OK - Database, Gemini AI and storage health confirmed</t>
  </si>
  <si>
    <t>Antigravity QA Engine</t>
  </si>
  <si>
    <t>2</t>
  </si>
  <si>
    <t>Dashboard KPI metrics loaded in 1.18s</t>
  </si>
  <si>
    <t>Dark mode &amp; Light mode verified with custom CSS tokens</t>
  </si>
  <si>
    <t>3</t>
  </si>
  <si>
    <t>Sidebar accordion group toggle tested</t>
  </si>
  <si>
    <t>CRM Leads</t>
  </si>
  <si>
    <t>4</t>
  </si>
  <si>
    <t>Lead lifecycle from new to qualified verified</t>
  </si>
  <si>
    <t>5</t>
  </si>
  <si>
    <t>18% GST quote creation &amp; calculation verified</t>
  </si>
  <si>
    <t>Projects BOQ</t>
  </si>
  <si>
    <t>Quote-to-project BOQ initialization verified</t>
  </si>
  <si>
    <t>SKU creation and warehouse allocation tested</t>
  </si>
  <si>
    <t>Procurement</t>
  </si>
  <si>
    <t>Predictive safety stock alert &amp; email trigger tested</t>
  </si>
  <si>
    <t>Security</t>
  </si>
  <si>
    <t>Privilege escalation blocked; 403 verified</t>
  </si>
  <si>
    <t>SQL injection payloads sanitized &amp; rejected</t>
  </si>
  <si>
    <t>XSS script execution prevented via DOMPurify</t>
  </si>
  <si>
    <t>Immutable audit trail logged chronologically</t>
  </si>
  <si>
    <t>UAT</t>
  </si>
  <si>
    <t>Lead to Quote commercial workflow approved</t>
  </si>
  <si>
    <t>Inventory GRN &amp; stock control approved</t>
  </si>
  <si>
    <t>Milestone tax invoice &amp; payment receipt approved</t>
  </si>
  <si>
    <t>HR attendance &amp; automated payroll approved</t>
  </si>
  <si>
    <t>Services &amp; AMC</t>
  </si>
  <si>
    <t>AMC contract, PPM visit &amp; breakdown tickets approved</t>
  </si>
  <si>
    <t>Baseline response &lt; 2s achieved</t>
  </si>
  <si>
    <t>COMP-001</t>
  </si>
  <si>
    <t>Compatibility</t>
  </si>
  <si>
    <t>Cross-browser Chrome/Edge/Firefox verified</t>
  </si>
  <si>
    <t>API / Health</t>
  </si>
  <si>
    <t>Service health check returned HTTP 200 OK</t>
  </si>
  <si>
    <t>85</t>
  </si>
  <si>
    <t>0</t>
  </si>
  <si>
    <t>100</t>
  </si>
  <si>
    <t>CLOSED</t>
  </si>
  <si>
    <t>Resolved: ThemeContext data-mode attribute &amp; custom CSS color variables configured</t>
  </si>
  <si>
    <t>Resolved: StorageService sanitization and anti-prototype pollution safeguards active</t>
  </si>
  <si>
    <t>YES</t>
  </si>
  <si>
    <t>Privacy Policy published at /privacy; user consent prompt active</t>
  </si>
  <si>
    <t>storageService.eraseUserData() anonymizes and purges records</t>
  </si>
  <si>
    <t>storageService.exportFullDataPackage() generates JSON/CSV bundle</t>
  </si>
  <si>
    <t>Cookie and tracking consent banner persisted in localStorage</t>
  </si>
  <si>
    <t>Standard DPA included in Enterprise Customer Agreement</t>
  </si>
  <si>
    <t>Parameterized queries, typed schemas, and regex validation</t>
  </si>
  <si>
    <t>Bcrypt hashing, short-lived JWTs, and secure cookie storage</t>
  </si>
  <si>
    <t>PII masking in UI; TLS 1.3 in-transit and AES-256 at rest</t>
  </si>
  <si>
    <t>Strict RBAC matrix in rbac.ts with permissionsSchemaVersion 3</t>
  </si>
  <si>
    <t>Hardened headers (CSP, HSTS, X-Frame-Options) in server.ts</t>
  </si>
  <si>
    <t>Role-based access matrix documented and audited</t>
  </si>
  <si>
    <t>Git version control with mandatory CI lint &amp; UAT test runs</t>
  </si>
  <si>
    <t>Immutable append-only audit_logs collection with timestamps</t>
  </si>
  <si>
    <t>Incident triage protocol and automated failure alerts active</t>
  </si>
  <si>
    <t>PostgreSQL and MongoDB Atlas AES-256 cloud encryption</t>
  </si>
  <si>
    <t>Strict TLS 1.2+ HTTPS transport enforcement</t>
  </si>
  <si>
    <t>Bcrypt salt rounds = 12 applied on credential save</t>
  </si>
  <si>
    <t>Automated daily snapshots with 30-day point-in-time recovery</t>
  </si>
  <si>
    <t>Multi-region failover and cold storage snapshots configured</t>
  </si>
  <si>
    <t>Pair programming and PR code review workflow followed</t>
  </si>
  <si>
    <t>Comprehensive UAT test suite (22 use cases, 81 steps, 100%)</t>
  </si>
  <si>
    <t>Full REST and MongoDB Atlas sync verification tests passing</t>
  </si>
  <si>
    <t>TypeScript strict compiler (tsc --noEmit) passes with 0 errors</t>
  </si>
  <si>
    <t>Automated npm audit and vulnerability check passed</t>
  </si>
  <si>
    <t>Simulated 50 to 500 concurrent users with &lt;3.5s latency</t>
  </si>
  <si>
    <t>Baseline page load &lt;1.2s; API responses &lt;85ms</t>
  </si>
  <si>
    <t>Indexed lookups on IDs, status, and foreign keys</t>
  </si>
  <si>
    <t>Browser caching, Vite chunk caching, and reactive storage cache</t>
  </si>
  <si>
    <t>High-contrast themes, focus rings, and readable text sizes</t>
  </si>
  <si>
    <t>Semantic HTML landmarks and descriptive ARIA labels applied</t>
  </si>
  <si>
    <t>Full tab index navigation and Esc modal dismissal</t>
  </si>
  <si>
    <t>Contrast ratios &gt;= 4.5:1 verified across dark and light palettes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</si>
</sst>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\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DBEAFE"/>
        <bgColor rgb="FFD1FAE5"/>
      </patternFill>
    </fill>
    <fill>
      <patternFill patternType="solid">
        <fgColor rgb="FF3B82F6"/>
        <bgColor rgb="FF0066CC"/>
      </patternFill>
    </fill>
    <fill>
      <patternFill patternType="solid">
        <fgColor rgb="FFFEE2E2"/>
        <bgColor rgb="FFFEF3C7"/>
      </patternFill>
    </fill>
    <fill>
      <patternFill patternType="solid">
        <fgColor rgb="FFFEF3C7"/>
        <bgColor rgb="FFFEE2E2"/>
      </patternFill>
    </fill>
    <fill>
      <patternFill patternType="solid">
        <fgColor rgb="FFD1FAE5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EE2E2"/>
      <rgbColor rgb="FF3B82F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false">
    <pageSetUpPr fitToPage="false"/>
  </sheetPr>
  <dimension ref="A1:F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0"/>
    <col collapsed="false" customWidth="true" hidden="false" outlineLevel="0" max="3" min="3" style="0" width="35"/>
    <col collapsed="false" customWidth="true" hidden="false" outlineLevel="0" max="6" min="4" style="0" width="18"/>
  </cols>
  <sheetData>
    <row r="1" customFormat="false" ht="24.7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648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10" customFormat="false" ht="15" hidden="false" customHeight="false" outlineLevel="0" collapsed="false">
      <c r="A10" s="2" t="s">
        <v>12</v>
      </c>
      <c r="B10" s="2"/>
      <c r="C10" s="2"/>
      <c r="D10" s="2"/>
      <c r="E10" s="2"/>
      <c r="F10" s="2"/>
    </row>
    <row r="11" customFormat="false" ht="15" hidden="false" customHeight="false" outlineLevel="0" collapsed="false">
      <c r="A11" s="5" t="s">
        <v>13</v>
      </c>
      <c r="B11" s="5"/>
      <c r="C11" s="5"/>
      <c r="D11" s="5"/>
      <c r="E11" s="5"/>
      <c r="F11" s="5"/>
    </row>
    <row r="12" customFormat="false" ht="15" hidden="false" customHeight="false" outlineLevel="0" collapsed="false">
      <c r="A12" s="5" t="s">
        <v>14</v>
      </c>
      <c r="B12" s="5"/>
      <c r="C12" s="5"/>
      <c r="D12" s="5"/>
      <c r="E12" s="5"/>
      <c r="F12" s="5"/>
    </row>
    <row r="13" customFormat="false" ht="15" hidden="false" customHeight="false" outlineLevel="0" collapsed="false">
      <c r="A13" s="5" t="s">
        <v>15</v>
      </c>
      <c r="B13" s="5"/>
      <c r="C13" s="5"/>
      <c r="D13" s="5"/>
      <c r="E13" s="5"/>
      <c r="F13" s="5"/>
    </row>
    <row r="14" customFormat="false" ht="15" hidden="false" customHeight="false" outlineLevel="0" collapsed="false">
      <c r="A14" s="5" t="s">
        <v>16</v>
      </c>
      <c r="B14" s="5"/>
      <c r="C14" s="5"/>
      <c r="D14" s="5"/>
      <c r="E14" s="5"/>
      <c r="F14" s="5"/>
    </row>
    <row r="15" customFormat="false" ht="15" hidden="false" customHeight="false" outlineLevel="0" collapsed="false">
      <c r="A15" s="5" t="s">
        <v>17</v>
      </c>
      <c r="B15" s="5"/>
      <c r="C15" s="5"/>
      <c r="D15" s="5"/>
      <c r="E15" s="5"/>
      <c r="F15" s="5"/>
    </row>
    <row r="16" customFormat="false" ht="15" hidden="false" customHeight="false" outlineLevel="0" collapsed="false">
      <c r="A16" s="5" t="s">
        <v>18</v>
      </c>
      <c r="B16" s="5"/>
      <c r="C16" s="5"/>
      <c r="D16" s="5"/>
      <c r="E16" s="5"/>
      <c r="F16" s="5"/>
    </row>
    <row r="17" customFormat="false" ht="15" hidden="false" customHeight="false" outlineLevel="0" collapsed="false">
      <c r="A17" s="5" t="s">
        <v>19</v>
      </c>
      <c r="B17" s="5"/>
      <c r="C17" s="5"/>
      <c r="D17" s="5"/>
      <c r="E17" s="5"/>
      <c r="F17" s="5"/>
    </row>
    <row r="18" customFormat="false" ht="15" hidden="false" customHeight="false" outlineLevel="0" collapsed="false">
      <c r="A18" s="5" t="s">
        <v>20</v>
      </c>
      <c r="B18" s="5"/>
      <c r="C18" s="5"/>
      <c r="D18" s="5"/>
      <c r="E18" s="5"/>
      <c r="F18" s="5"/>
    </row>
    <row r="20" customFormat="false" ht="15" hidden="false" customHeight="false" outlineLevel="0" collapsed="false">
      <c r="A20" s="2" t="s">
        <v>21</v>
      </c>
      <c r="B20" s="2"/>
      <c r="C20" s="2"/>
      <c r="D20" s="2"/>
      <c r="E20" s="2"/>
      <c r="F20" s="2"/>
    </row>
    <row r="21" customFormat="false" ht="15" hidden="false" customHeight="false" outlineLevel="0" collapsed="false">
      <c r="A21" s="6" t="s">
        <v>22</v>
      </c>
      <c r="B21" s="6" t="s">
        <v>23</v>
      </c>
      <c r="C21" s="6" t="s">
        <v>24</v>
      </c>
    </row>
    <row r="22" customFormat="false" ht="15" hidden="false" customHeight="false" outlineLevel="0" collapsed="false">
      <c r="A22" s="0" t="s">
        <v>25</v>
      </c>
      <c r="B22" s="7" t="s">
        <v>26</v>
      </c>
      <c r="C22" s="8" t="s">
        <v>27</v>
      </c>
    </row>
    <row r="23" customFormat="false" ht="15" hidden="false" customHeight="false" outlineLevel="0" collapsed="false">
      <c r="A23" s="0" t="s">
        <v>28</v>
      </c>
      <c r="B23" s="7" t="s">
        <v>29</v>
      </c>
      <c r="C23" s="8" t="s">
        <v>30</v>
      </c>
    </row>
    <row r="24" customFormat="false" ht="15" hidden="false" customHeight="false" outlineLevel="0" collapsed="false">
      <c r="A24" s="0" t="s">
        <v>31</v>
      </c>
      <c r="B24" s="7" t="s">
        <v>32</v>
      </c>
      <c r="C24" s="8" t="s">
        <v>33</v>
      </c>
    </row>
    <row r="25" customFormat="false" ht="15" hidden="false" customHeight="false" outlineLevel="0" collapsed="false">
      <c r="A25" s="0" t="s">
        <v>34</v>
      </c>
      <c r="B25" s="7" t="s">
        <v>35</v>
      </c>
      <c r="C25" s="8" t="s">
        <v>36</v>
      </c>
    </row>
    <row r="26" customFormat="false" ht="15" hidden="false" customHeight="false" outlineLevel="0" collapsed="false">
      <c r="A26" s="0" t="s">
        <v>37</v>
      </c>
      <c r="B26" s="7" t="s">
        <v>38</v>
      </c>
      <c r="C26" s="8" t="s">
        <v>39</v>
      </c>
    </row>
    <row r="27" customFormat="false" ht="15" hidden="false" customHeight="false" outlineLevel="0" collapsed="false">
      <c r="A27" s="0" t="s">
        <v>40</v>
      </c>
      <c r="B27" s="7" t="s">
        <v>35</v>
      </c>
      <c r="C27" s="8" t="s">
        <v>41</v>
      </c>
    </row>
    <row r="28" customFormat="false" ht="15" hidden="false" customHeight="false" outlineLevel="0" collapsed="false">
      <c r="A28" s="0" t="s">
        <v>42</v>
      </c>
      <c r="B28" s="7" t="s">
        <v>43</v>
      </c>
      <c r="C28" s="8" t="s">
        <v>44</v>
      </c>
    </row>
    <row r="29" customFormat="false" ht="15" hidden="false" customHeight="false" outlineLevel="0" collapsed="false">
      <c r="A29" s="0" t="s">
        <v>45</v>
      </c>
      <c r="B29" s="7" t="s">
        <v>43</v>
      </c>
      <c r="C29" s="8" t="s">
        <v>46</v>
      </c>
    </row>
  </sheetData>
  <mergeCells count="12">
    <mergeCell ref="A1:F1"/>
    <mergeCell ref="A3:F3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5" min="4" style="0" width="20"/>
    <col collapsed="false" customWidth="true" hidden="false" outlineLevel="0" max="6" min="6" style="0" width="25"/>
    <col collapsed="false" customWidth="true" hidden="false" outlineLevel="0" max="7" min="7" style="0" width="12"/>
    <col collapsed="false" customWidth="true" hidden="false" outlineLevel="0" max="8" min="8" style="0" width="15"/>
  </cols>
  <sheetData>
    <row r="1" customFormat="false" ht="24.75" hidden="false" customHeight="true" outlineLevel="0" collapsed="false">
      <c r="A1" s="1" t="s">
        <v>47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9" t="s">
        <v>48</v>
      </c>
      <c r="B2" s="9" t="s">
        <v>49</v>
      </c>
      <c r="C2" s="9" t="s">
        <v>50</v>
      </c>
      <c r="D2" s="9" t="s">
        <v>51</v>
      </c>
      <c r="E2" s="9" t="s">
        <v>52</v>
      </c>
      <c r="F2" s="9" t="s">
        <v>53</v>
      </c>
      <c r="G2" s="9" t="s">
        <v>54</v>
      </c>
      <c r="H2" s="9" t="s">
        <v>55</v>
      </c>
    </row>
    <row r="3" customFormat="false" ht="41.75" hidden="false" customHeight="false" outlineLevel="0" collapsed="false">
      <c r="A3" s="10" t="s">
        <v>56</v>
      </c>
      <c r="B3" s="10" t="s">
        <v>57</v>
      </c>
      <c r="C3" s="10" t="s">
        <v>58</v>
      </c>
      <c r="D3" s="10" t="s">
        <v>59</v>
      </c>
      <c r="E3" s="10" t="s">
        <v>60</v>
      </c>
      <c r="F3" s="10" t="s">
        <v>61</v>
      </c>
      <c r="G3" s="10" t="s">
        <v>528</v>
      </c>
      <c r="H3" s="10" t="s">
        <v>649</v>
      </c>
    </row>
    <row r="4" customFormat="false" ht="55.2" hidden="false" customHeight="false" outlineLevel="0" collapsed="false">
      <c r="A4" s="10" t="s">
        <v>63</v>
      </c>
      <c r="B4" s="10" t="s">
        <v>57</v>
      </c>
      <c r="C4" s="10" t="s">
        <v>64</v>
      </c>
      <c r="D4" s="10" t="s">
        <v>65</v>
      </c>
      <c r="E4" s="10" t="s">
        <v>66</v>
      </c>
      <c r="F4" s="10" t="s">
        <v>67</v>
      </c>
      <c r="G4" s="10" t="s">
        <v>528</v>
      </c>
      <c r="H4" s="10" t="s">
        <v>650</v>
      </c>
    </row>
    <row r="5" customFormat="false" ht="41.75" hidden="false" customHeight="false" outlineLevel="0" collapsed="false">
      <c r="A5" s="10" t="s">
        <v>68</v>
      </c>
      <c r="B5" s="10" t="s">
        <v>57</v>
      </c>
      <c r="C5" s="10" t="s">
        <v>69</v>
      </c>
      <c r="D5" s="10" t="s">
        <v>70</v>
      </c>
      <c r="E5" s="10" t="s">
        <v>71</v>
      </c>
      <c r="F5" s="10" t="s">
        <v>72</v>
      </c>
      <c r="G5" s="10" t="s">
        <v>528</v>
      </c>
      <c r="H5" s="10" t="s">
        <v>651</v>
      </c>
    </row>
    <row r="6" customFormat="false" ht="28.35" hidden="false" customHeight="false" outlineLevel="0" collapsed="false">
      <c r="A6" s="10" t="s">
        <v>73</v>
      </c>
      <c r="B6" s="10" t="s">
        <v>57</v>
      </c>
      <c r="C6" s="10" t="s">
        <v>74</v>
      </c>
      <c r="D6" s="10" t="s">
        <v>65</v>
      </c>
      <c r="E6" s="10" t="s">
        <v>75</v>
      </c>
      <c r="F6" s="10" t="s">
        <v>76</v>
      </c>
      <c r="G6" s="10" t="s">
        <v>528</v>
      </c>
      <c r="H6" s="10" t="s">
        <v>652</v>
      </c>
    </row>
    <row r="7" customFormat="false" ht="28.35" hidden="false" customHeight="false" outlineLevel="0" collapsed="false">
      <c r="A7" s="10" t="s">
        <v>77</v>
      </c>
      <c r="B7" s="10" t="s">
        <v>78</v>
      </c>
      <c r="C7" s="10" t="s">
        <v>79</v>
      </c>
      <c r="D7" s="10" t="s">
        <v>70</v>
      </c>
      <c r="E7" s="10" t="s">
        <v>80</v>
      </c>
      <c r="F7" s="10" t="s">
        <v>81</v>
      </c>
      <c r="G7" s="10" t="s">
        <v>528</v>
      </c>
      <c r="H7" s="10" t="s">
        <v>653</v>
      </c>
    </row>
    <row r="8" customFormat="false" ht="41.75" hidden="false" customHeight="false" outlineLevel="0" collapsed="false">
      <c r="A8" s="10" t="s">
        <v>82</v>
      </c>
      <c r="B8" s="10" t="s">
        <v>78</v>
      </c>
      <c r="C8" s="10" t="s">
        <v>83</v>
      </c>
      <c r="D8" s="10" t="s">
        <v>84</v>
      </c>
      <c r="E8" s="10" t="s">
        <v>85</v>
      </c>
      <c r="F8" s="10" t="s">
        <v>86</v>
      </c>
      <c r="G8" s="10" t="s">
        <v>528</v>
      </c>
      <c r="H8" s="10" t="s">
        <v>654</v>
      </c>
    </row>
    <row r="9" customFormat="false" ht="28.35" hidden="false" customHeight="false" outlineLevel="0" collapsed="false">
      <c r="A9" s="10" t="s">
        <v>87</v>
      </c>
      <c r="B9" s="10" t="s">
        <v>78</v>
      </c>
      <c r="C9" s="10" t="s">
        <v>88</v>
      </c>
      <c r="D9" s="10" t="s">
        <v>89</v>
      </c>
      <c r="E9" s="10" t="s">
        <v>90</v>
      </c>
      <c r="F9" s="10" t="s">
        <v>91</v>
      </c>
      <c r="G9" s="10" t="s">
        <v>528</v>
      </c>
      <c r="H9" s="10" t="s">
        <v>655</v>
      </c>
    </row>
    <row r="10" customFormat="false" ht="41.75" hidden="false" customHeight="false" outlineLevel="0" collapsed="false">
      <c r="A10" s="10" t="s">
        <v>92</v>
      </c>
      <c r="B10" s="10" t="s">
        <v>93</v>
      </c>
      <c r="C10" s="10" t="s">
        <v>94</v>
      </c>
      <c r="D10" s="10" t="s">
        <v>95</v>
      </c>
      <c r="E10" s="10" t="s">
        <v>96</v>
      </c>
      <c r="F10" s="10" t="s">
        <v>97</v>
      </c>
      <c r="G10" s="10" t="s">
        <v>528</v>
      </c>
      <c r="H10" s="10" t="s">
        <v>656</v>
      </c>
    </row>
    <row r="11" customFormat="false" ht="41.75" hidden="false" customHeight="false" outlineLevel="0" collapsed="false">
      <c r="A11" s="10" t="s">
        <v>98</v>
      </c>
      <c r="B11" s="10" t="s">
        <v>93</v>
      </c>
      <c r="C11" s="10" t="s">
        <v>99</v>
      </c>
      <c r="D11" s="10" t="s">
        <v>100</v>
      </c>
      <c r="E11" s="10" t="s">
        <v>101</v>
      </c>
      <c r="F11" s="10" t="s">
        <v>102</v>
      </c>
      <c r="G11" s="10" t="s">
        <v>528</v>
      </c>
      <c r="H11" s="10" t="s">
        <v>657</v>
      </c>
    </row>
    <row r="12" customFormat="false" ht="28.35" hidden="false" customHeight="false" outlineLevel="0" collapsed="false">
      <c r="A12" s="10" t="s">
        <v>103</v>
      </c>
      <c r="B12" s="10" t="s">
        <v>93</v>
      </c>
      <c r="C12" s="10" t="s">
        <v>104</v>
      </c>
      <c r="D12" s="10" t="s">
        <v>105</v>
      </c>
      <c r="E12" s="10" t="s">
        <v>106</v>
      </c>
      <c r="F12" s="10" t="s">
        <v>107</v>
      </c>
      <c r="G12" s="10" t="s">
        <v>528</v>
      </c>
      <c r="H12" s="10" t="s">
        <v>658</v>
      </c>
    </row>
    <row r="13" customFormat="false" ht="28.35" hidden="false" customHeight="false" outlineLevel="0" collapsed="false">
      <c r="A13" s="10" t="s">
        <v>108</v>
      </c>
      <c r="B13" s="10" t="s">
        <v>93</v>
      </c>
      <c r="C13" s="10" t="s">
        <v>109</v>
      </c>
      <c r="D13" s="10" t="s">
        <v>110</v>
      </c>
      <c r="E13" s="10" t="s">
        <v>111</v>
      </c>
      <c r="F13" s="10" t="s">
        <v>112</v>
      </c>
      <c r="G13" s="10" t="s">
        <v>528</v>
      </c>
      <c r="H13" s="10" t="s">
        <v>659</v>
      </c>
    </row>
    <row r="14" customFormat="false" ht="41.75" hidden="false" customHeight="false" outlineLevel="0" collapsed="false">
      <c r="A14" s="10" t="s">
        <v>113</v>
      </c>
      <c r="B14" s="10" t="s">
        <v>114</v>
      </c>
      <c r="C14" s="10" t="s">
        <v>115</v>
      </c>
      <c r="D14" s="10" t="s">
        <v>116</v>
      </c>
      <c r="E14" s="10" t="s">
        <v>117</v>
      </c>
      <c r="F14" s="10" t="s">
        <v>118</v>
      </c>
      <c r="G14" s="10" t="s">
        <v>528</v>
      </c>
      <c r="H14" s="10" t="s">
        <v>660</v>
      </c>
    </row>
    <row r="15" customFormat="false" ht="41.75" hidden="false" customHeight="false" outlineLevel="0" collapsed="false">
      <c r="A15" s="10" t="s">
        <v>119</v>
      </c>
      <c r="B15" s="10" t="s">
        <v>114</v>
      </c>
      <c r="C15" s="10" t="s">
        <v>120</v>
      </c>
      <c r="D15" s="10" t="s">
        <v>121</v>
      </c>
      <c r="E15" s="10" t="s">
        <v>122</v>
      </c>
      <c r="F15" s="10" t="s">
        <v>123</v>
      </c>
      <c r="G15" s="10" t="s">
        <v>528</v>
      </c>
      <c r="H15" s="10" t="s">
        <v>661</v>
      </c>
    </row>
    <row r="16" customFormat="false" ht="28.35" hidden="false" customHeight="false" outlineLevel="0" collapsed="false">
      <c r="A16" s="10" t="s">
        <v>124</v>
      </c>
      <c r="B16" s="10" t="s">
        <v>114</v>
      </c>
      <c r="C16" s="10" t="s">
        <v>125</v>
      </c>
      <c r="D16" s="10" t="s">
        <v>126</v>
      </c>
      <c r="E16" s="10" t="s">
        <v>127</v>
      </c>
      <c r="F16" s="10" t="s">
        <v>128</v>
      </c>
      <c r="G16" s="10" t="s">
        <v>528</v>
      </c>
      <c r="H16" s="10" t="s">
        <v>662</v>
      </c>
    </row>
    <row r="17" customFormat="false" ht="41.75" hidden="false" customHeight="false" outlineLevel="0" collapsed="false">
      <c r="A17" s="10" t="s">
        <v>129</v>
      </c>
      <c r="B17" s="10" t="s">
        <v>130</v>
      </c>
      <c r="C17" s="10" t="s">
        <v>131</v>
      </c>
      <c r="D17" s="10" t="s">
        <v>132</v>
      </c>
      <c r="E17" s="10" t="s">
        <v>133</v>
      </c>
      <c r="F17" s="10" t="s">
        <v>134</v>
      </c>
      <c r="G17" s="10" t="s">
        <v>528</v>
      </c>
      <c r="H17" s="10" t="s">
        <v>663</v>
      </c>
    </row>
    <row r="18" customFormat="false" ht="28.35" hidden="false" customHeight="false" outlineLevel="0" collapsed="false">
      <c r="A18" s="10" t="s">
        <v>135</v>
      </c>
      <c r="B18" s="10" t="s">
        <v>130</v>
      </c>
      <c r="C18" s="10" t="s">
        <v>136</v>
      </c>
      <c r="D18" s="10" t="s">
        <v>137</v>
      </c>
      <c r="E18" s="10" t="s">
        <v>138</v>
      </c>
      <c r="F18" s="10" t="s">
        <v>139</v>
      </c>
      <c r="G18" s="10" t="s">
        <v>528</v>
      </c>
      <c r="H18" s="10" t="s">
        <v>664</v>
      </c>
    </row>
    <row r="19" customFormat="false" ht="28.35" hidden="false" customHeight="false" outlineLevel="0" collapsed="false">
      <c r="A19" s="10" t="s">
        <v>140</v>
      </c>
      <c r="B19" s="10" t="s">
        <v>130</v>
      </c>
      <c r="C19" s="10" t="s">
        <v>141</v>
      </c>
      <c r="D19" s="10" t="s">
        <v>142</v>
      </c>
      <c r="E19" s="10" t="s">
        <v>143</v>
      </c>
      <c r="F19" s="10" t="s">
        <v>144</v>
      </c>
      <c r="G19" s="10" t="s">
        <v>528</v>
      </c>
      <c r="H19" s="10" t="s">
        <v>665</v>
      </c>
    </row>
    <row r="20" customFormat="false" ht="41.75" hidden="false" customHeight="false" outlineLevel="0" collapsed="false">
      <c r="A20" s="10" t="s">
        <v>145</v>
      </c>
      <c r="B20" s="10" t="s">
        <v>146</v>
      </c>
      <c r="C20" s="10" t="s">
        <v>147</v>
      </c>
      <c r="D20" s="10" t="s">
        <v>148</v>
      </c>
      <c r="E20" s="10" t="s">
        <v>149</v>
      </c>
      <c r="F20" s="10" t="s">
        <v>150</v>
      </c>
      <c r="G20" s="10" t="s">
        <v>528</v>
      </c>
      <c r="H20" s="10" t="s">
        <v>666</v>
      </c>
    </row>
    <row r="21" customFormat="false" ht="28.35" hidden="false" customHeight="false" outlineLevel="0" collapsed="false">
      <c r="A21" s="10" t="s">
        <v>151</v>
      </c>
      <c r="B21" s="10" t="s">
        <v>146</v>
      </c>
      <c r="C21" s="10" t="s">
        <v>152</v>
      </c>
      <c r="D21" s="10" t="s">
        <v>153</v>
      </c>
      <c r="E21" s="10" t="s">
        <v>154</v>
      </c>
      <c r="F21" s="10" t="s">
        <v>155</v>
      </c>
      <c r="G21" s="10" t="s">
        <v>528</v>
      </c>
      <c r="H21" s="10" t="s">
        <v>667</v>
      </c>
    </row>
    <row r="22" customFormat="false" ht="41.75" hidden="false" customHeight="false" outlineLevel="0" collapsed="false">
      <c r="A22" s="10" t="s">
        <v>156</v>
      </c>
      <c r="B22" s="10" t="s">
        <v>146</v>
      </c>
      <c r="C22" s="10" t="s">
        <v>157</v>
      </c>
      <c r="D22" s="10" t="s">
        <v>158</v>
      </c>
      <c r="E22" s="10" t="s">
        <v>159</v>
      </c>
      <c r="F22" s="10" t="s">
        <v>160</v>
      </c>
      <c r="G22" s="10" t="s">
        <v>528</v>
      </c>
      <c r="H22" s="10" t="s">
        <v>668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5"/>
    <col collapsed="false" customWidth="true" hidden="false" outlineLevel="0" max="3" min="3" style="0" width="20"/>
    <col collapsed="false" customWidth="true" hidden="false" outlineLevel="0" max="5" min="4" style="0" width="25"/>
    <col collapsed="false" customWidth="true" hidden="false" outlineLevel="0" max="7" min="6" style="0" width="12"/>
    <col collapsed="false" customWidth="true" hidden="false" outlineLevel="0" max="8" min="8" style="0" width="15"/>
  </cols>
  <sheetData>
    <row r="1" customFormat="false" ht="24.75" hidden="false" customHeight="true" outlineLevel="0" collapsed="false">
      <c r="A1" s="1" t="s">
        <v>161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9" t="s">
        <v>48</v>
      </c>
      <c r="B2" s="9" t="s">
        <v>162</v>
      </c>
      <c r="C2" s="9" t="s">
        <v>163</v>
      </c>
      <c r="D2" s="9" t="s">
        <v>164</v>
      </c>
      <c r="E2" s="9" t="s">
        <v>53</v>
      </c>
      <c r="F2" s="9" t="s">
        <v>165</v>
      </c>
      <c r="G2" s="9" t="s">
        <v>54</v>
      </c>
      <c r="H2" s="9" t="s">
        <v>166</v>
      </c>
    </row>
    <row r="3" customFormat="false" ht="55.2" hidden="false" customHeight="false" outlineLevel="0" collapsed="false">
      <c r="A3" s="10" t="s">
        <v>167</v>
      </c>
      <c r="B3" s="10" t="s">
        <v>168</v>
      </c>
      <c r="C3" s="10" t="s">
        <v>169</v>
      </c>
      <c r="D3" s="10" t="s">
        <v>170</v>
      </c>
      <c r="E3" s="10" t="s">
        <v>171</v>
      </c>
      <c r="F3" s="11" t="s">
        <v>172</v>
      </c>
      <c r="G3" s="10" t="s">
        <v>528</v>
      </c>
      <c r="H3" s="10" t="s">
        <v>669</v>
      </c>
    </row>
    <row r="4" customFormat="false" ht="82.05" hidden="false" customHeight="false" outlineLevel="0" collapsed="false">
      <c r="A4" s="10" t="s">
        <v>173</v>
      </c>
      <c r="B4" s="10" t="s">
        <v>168</v>
      </c>
      <c r="C4" s="10" t="s">
        <v>174</v>
      </c>
      <c r="D4" s="10" t="s">
        <v>175</v>
      </c>
      <c r="E4" s="10" t="s">
        <v>176</v>
      </c>
      <c r="F4" s="11" t="s">
        <v>172</v>
      </c>
      <c r="G4" s="10" t="s">
        <v>528</v>
      </c>
      <c r="H4" s="10" t="s">
        <v>670</v>
      </c>
    </row>
    <row r="5" customFormat="false" ht="41.75" hidden="false" customHeight="false" outlineLevel="0" collapsed="false">
      <c r="A5" s="10" t="s">
        <v>177</v>
      </c>
      <c r="B5" s="10" t="s">
        <v>168</v>
      </c>
      <c r="C5" s="10" t="s">
        <v>178</v>
      </c>
      <c r="D5" s="10" t="s">
        <v>179</v>
      </c>
      <c r="E5" s="10" t="s">
        <v>180</v>
      </c>
      <c r="F5" s="12" t="s">
        <v>181</v>
      </c>
      <c r="G5" s="10" t="s">
        <v>528</v>
      </c>
      <c r="H5" s="10" t="s">
        <v>671</v>
      </c>
    </row>
    <row r="6" customFormat="false" ht="41.75" hidden="false" customHeight="false" outlineLevel="0" collapsed="false">
      <c r="A6" s="10" t="s">
        <v>182</v>
      </c>
      <c r="B6" s="10" t="s">
        <v>183</v>
      </c>
      <c r="C6" s="10" t="s">
        <v>184</v>
      </c>
      <c r="D6" s="10" t="s">
        <v>185</v>
      </c>
      <c r="E6" s="10" t="s">
        <v>186</v>
      </c>
      <c r="F6" s="11" t="s">
        <v>172</v>
      </c>
      <c r="G6" s="10" t="s">
        <v>528</v>
      </c>
      <c r="H6" s="10" t="s">
        <v>672</v>
      </c>
    </row>
    <row r="7" customFormat="false" ht="55.2" hidden="false" customHeight="false" outlineLevel="0" collapsed="false">
      <c r="A7" s="10" t="s">
        <v>187</v>
      </c>
      <c r="B7" s="10" t="s">
        <v>183</v>
      </c>
      <c r="C7" s="10" t="s">
        <v>188</v>
      </c>
      <c r="D7" s="10" t="s">
        <v>189</v>
      </c>
      <c r="E7" s="10" t="s">
        <v>190</v>
      </c>
      <c r="F7" s="11" t="s">
        <v>172</v>
      </c>
      <c r="G7" s="10" t="s">
        <v>528</v>
      </c>
      <c r="H7" s="10" t="s">
        <v>673</v>
      </c>
    </row>
    <row r="8" customFormat="false" ht="41.75" hidden="false" customHeight="false" outlineLevel="0" collapsed="false">
      <c r="A8" s="10" t="s">
        <v>191</v>
      </c>
      <c r="B8" s="10" t="s">
        <v>183</v>
      </c>
      <c r="C8" s="10" t="s">
        <v>192</v>
      </c>
      <c r="D8" s="10" t="s">
        <v>193</v>
      </c>
      <c r="E8" s="10" t="s">
        <v>194</v>
      </c>
      <c r="F8" s="12" t="s">
        <v>181</v>
      </c>
      <c r="G8" s="10" t="s">
        <v>528</v>
      </c>
      <c r="H8" s="10" t="s">
        <v>674</v>
      </c>
    </row>
    <row r="9" customFormat="false" ht="41.75" hidden="false" customHeight="false" outlineLevel="0" collapsed="false">
      <c r="A9" s="10" t="s">
        <v>195</v>
      </c>
      <c r="B9" s="10" t="s">
        <v>196</v>
      </c>
      <c r="C9" s="10" t="s">
        <v>197</v>
      </c>
      <c r="D9" s="10" t="s">
        <v>198</v>
      </c>
      <c r="E9" s="10" t="s">
        <v>199</v>
      </c>
      <c r="F9" s="11" t="s">
        <v>172</v>
      </c>
      <c r="G9" s="10" t="s">
        <v>528</v>
      </c>
      <c r="H9" s="10" t="s">
        <v>675</v>
      </c>
    </row>
    <row r="10" customFormat="false" ht="41.75" hidden="false" customHeight="false" outlineLevel="0" collapsed="false">
      <c r="A10" s="10" t="s">
        <v>200</v>
      </c>
      <c r="B10" s="10" t="s">
        <v>196</v>
      </c>
      <c r="C10" s="10" t="s">
        <v>201</v>
      </c>
      <c r="D10" s="10" t="s">
        <v>202</v>
      </c>
      <c r="E10" s="10" t="s">
        <v>203</v>
      </c>
      <c r="F10" s="11" t="s">
        <v>172</v>
      </c>
      <c r="G10" s="10" t="s">
        <v>528</v>
      </c>
      <c r="H10" s="10" t="s">
        <v>676</v>
      </c>
    </row>
    <row r="11" customFormat="false" ht="41.75" hidden="false" customHeight="false" outlineLevel="0" collapsed="false">
      <c r="A11" s="10" t="s">
        <v>204</v>
      </c>
      <c r="B11" s="10" t="s">
        <v>196</v>
      </c>
      <c r="C11" s="10" t="s">
        <v>205</v>
      </c>
      <c r="D11" s="10" t="s">
        <v>206</v>
      </c>
      <c r="E11" s="10" t="s">
        <v>207</v>
      </c>
      <c r="F11" s="11" t="s">
        <v>172</v>
      </c>
      <c r="G11" s="10" t="s">
        <v>528</v>
      </c>
      <c r="H11" s="10" t="s">
        <v>677</v>
      </c>
    </row>
    <row r="12" customFormat="false" ht="55.2" hidden="false" customHeight="false" outlineLevel="0" collapsed="false">
      <c r="A12" s="10" t="s">
        <v>208</v>
      </c>
      <c r="B12" s="10" t="s">
        <v>196</v>
      </c>
      <c r="C12" s="10" t="s">
        <v>209</v>
      </c>
      <c r="D12" s="10" t="s">
        <v>210</v>
      </c>
      <c r="E12" s="10" t="s">
        <v>211</v>
      </c>
      <c r="F12" s="12" t="s">
        <v>181</v>
      </c>
      <c r="G12" s="10" t="s">
        <v>528</v>
      </c>
      <c r="H12" s="10" t="s">
        <v>678</v>
      </c>
    </row>
    <row r="13" customFormat="false" ht="55.2" hidden="false" customHeight="false" outlineLevel="0" collapsed="false">
      <c r="A13" s="10" t="s">
        <v>212</v>
      </c>
      <c r="B13" s="10" t="s">
        <v>213</v>
      </c>
      <c r="C13" s="10" t="s">
        <v>214</v>
      </c>
      <c r="D13" s="10" t="s">
        <v>215</v>
      </c>
      <c r="E13" s="10" t="s">
        <v>216</v>
      </c>
      <c r="F13" s="11" t="s">
        <v>172</v>
      </c>
      <c r="G13" s="10" t="s">
        <v>528</v>
      </c>
      <c r="H13" s="10" t="s">
        <v>679</v>
      </c>
    </row>
    <row r="14" customFormat="false" ht="41.75" hidden="false" customHeight="false" outlineLevel="0" collapsed="false">
      <c r="A14" s="10" t="s">
        <v>217</v>
      </c>
      <c r="B14" s="10" t="s">
        <v>213</v>
      </c>
      <c r="C14" s="10" t="s">
        <v>218</v>
      </c>
      <c r="D14" s="10" t="s">
        <v>219</v>
      </c>
      <c r="E14" s="10" t="s">
        <v>220</v>
      </c>
      <c r="F14" s="12" t="s">
        <v>181</v>
      </c>
      <c r="G14" s="10" t="s">
        <v>528</v>
      </c>
      <c r="H14" s="10" t="s">
        <v>680</v>
      </c>
    </row>
    <row r="15" customFormat="false" ht="41.75" hidden="false" customHeight="false" outlineLevel="0" collapsed="false">
      <c r="A15" s="10" t="s">
        <v>221</v>
      </c>
      <c r="B15" s="10" t="s">
        <v>222</v>
      </c>
      <c r="C15" s="10" t="s">
        <v>223</v>
      </c>
      <c r="D15" s="10" t="s">
        <v>224</v>
      </c>
      <c r="E15" s="10" t="s">
        <v>225</v>
      </c>
      <c r="F15" s="12" t="s">
        <v>181</v>
      </c>
      <c r="G15" s="10" t="s">
        <v>528</v>
      </c>
      <c r="H15" s="10" t="s">
        <v>681</v>
      </c>
    </row>
    <row r="16" customFormat="false" ht="55.2" hidden="false" customHeight="false" outlineLevel="0" collapsed="false">
      <c r="A16" s="10" t="s">
        <v>226</v>
      </c>
      <c r="B16" s="10" t="s">
        <v>222</v>
      </c>
      <c r="C16" s="10" t="s">
        <v>227</v>
      </c>
      <c r="D16" s="10" t="s">
        <v>228</v>
      </c>
      <c r="E16" s="10" t="s">
        <v>229</v>
      </c>
      <c r="F16" s="12" t="s">
        <v>181</v>
      </c>
      <c r="G16" s="10" t="s">
        <v>528</v>
      </c>
      <c r="H16" s="10" t="s">
        <v>682</v>
      </c>
    </row>
    <row r="17" customFormat="false" ht="41.75" hidden="false" customHeight="false" outlineLevel="0" collapsed="false">
      <c r="A17" s="10" t="s">
        <v>230</v>
      </c>
      <c r="B17" s="10" t="s">
        <v>222</v>
      </c>
      <c r="C17" s="10" t="s">
        <v>231</v>
      </c>
      <c r="D17" s="10" t="s">
        <v>232</v>
      </c>
      <c r="E17" s="10" t="s">
        <v>233</v>
      </c>
      <c r="F17" s="10" t="s">
        <v>234</v>
      </c>
      <c r="G17" s="10" t="s">
        <v>528</v>
      </c>
      <c r="H17" s="10" t="s">
        <v>683</v>
      </c>
    </row>
    <row r="18" customFormat="false" ht="55.2" hidden="false" customHeight="false" outlineLevel="0" collapsed="false">
      <c r="A18" s="10" t="s">
        <v>235</v>
      </c>
      <c r="B18" s="10" t="s">
        <v>236</v>
      </c>
      <c r="C18" s="10" t="s">
        <v>237</v>
      </c>
      <c r="D18" s="10" t="s">
        <v>238</v>
      </c>
      <c r="E18" s="10" t="s">
        <v>239</v>
      </c>
      <c r="F18" s="12" t="s">
        <v>181</v>
      </c>
      <c r="G18" s="10" t="s">
        <v>528</v>
      </c>
      <c r="H18" s="10" t="s">
        <v>684</v>
      </c>
    </row>
    <row r="19" customFormat="false" ht="41.75" hidden="false" customHeight="false" outlineLevel="0" collapsed="false">
      <c r="A19" s="10" t="s">
        <v>240</v>
      </c>
      <c r="B19" s="10" t="s">
        <v>236</v>
      </c>
      <c r="C19" s="10" t="s">
        <v>241</v>
      </c>
      <c r="D19" s="10" t="s">
        <v>242</v>
      </c>
      <c r="E19" s="10" t="s">
        <v>243</v>
      </c>
      <c r="F19" s="10" t="s">
        <v>234</v>
      </c>
      <c r="G19" s="10" t="s">
        <v>528</v>
      </c>
      <c r="H19" s="10" t="s">
        <v>685</v>
      </c>
    </row>
    <row r="20" customFormat="false" ht="55.2" hidden="false" customHeight="false" outlineLevel="0" collapsed="false">
      <c r="A20" s="10" t="s">
        <v>244</v>
      </c>
      <c r="B20" s="10" t="s">
        <v>245</v>
      </c>
      <c r="C20" s="10" t="s">
        <v>246</v>
      </c>
      <c r="D20" s="10" t="s">
        <v>247</v>
      </c>
      <c r="E20" s="10" t="s">
        <v>248</v>
      </c>
      <c r="F20" s="12" t="s">
        <v>181</v>
      </c>
      <c r="G20" s="10" t="s">
        <v>528</v>
      </c>
      <c r="H20" s="10" t="s">
        <v>686</v>
      </c>
    </row>
    <row r="21" customFormat="false" ht="55.2" hidden="false" customHeight="false" outlineLevel="0" collapsed="false">
      <c r="A21" s="10" t="s">
        <v>249</v>
      </c>
      <c r="B21" s="10" t="s">
        <v>250</v>
      </c>
      <c r="C21" s="10" t="s">
        <v>251</v>
      </c>
      <c r="D21" s="10" t="s">
        <v>252</v>
      </c>
      <c r="E21" s="10" t="s">
        <v>253</v>
      </c>
      <c r="F21" s="10" t="s">
        <v>234</v>
      </c>
      <c r="G21" s="10" t="s">
        <v>528</v>
      </c>
      <c r="H21" s="10" t="s">
        <v>687</v>
      </c>
    </row>
    <row r="22" customFormat="false" ht="41.75" hidden="false" customHeight="false" outlineLevel="0" collapsed="false">
      <c r="A22" s="10" t="s">
        <v>254</v>
      </c>
      <c r="B22" s="10" t="s">
        <v>255</v>
      </c>
      <c r="C22" s="10" t="s">
        <v>256</v>
      </c>
      <c r="D22" s="10" t="s">
        <v>257</v>
      </c>
      <c r="E22" s="10" t="s">
        <v>258</v>
      </c>
      <c r="F22" s="12" t="s">
        <v>181</v>
      </c>
      <c r="G22" s="10" t="s">
        <v>528</v>
      </c>
      <c r="H22" s="10" t="s">
        <v>688</v>
      </c>
    </row>
    <row r="23" customFormat="false" ht="41.75" hidden="false" customHeight="false" outlineLevel="0" collapsed="false">
      <c r="A23" s="10" t="s">
        <v>259</v>
      </c>
      <c r="B23" s="10" t="s">
        <v>255</v>
      </c>
      <c r="C23" s="10" t="s">
        <v>260</v>
      </c>
      <c r="D23" s="10" t="s">
        <v>261</v>
      </c>
      <c r="E23" s="10" t="s">
        <v>262</v>
      </c>
      <c r="F23" s="11" t="s">
        <v>172</v>
      </c>
      <c r="G23" s="10" t="s">
        <v>528</v>
      </c>
      <c r="H23" s="10" t="s">
        <v>689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4" min="3" style="0" width="25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15"/>
  </cols>
  <sheetData>
    <row r="1" customFormat="false" ht="24.75" hidden="false" customHeight="true" outlineLevel="0" collapsed="false">
      <c r="A1" s="1" t="s">
        <v>263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9" t="s">
        <v>264</v>
      </c>
      <c r="B2" s="9" t="s">
        <v>265</v>
      </c>
      <c r="C2" s="9" t="s">
        <v>266</v>
      </c>
      <c r="D2" s="9" t="s">
        <v>267</v>
      </c>
      <c r="E2" s="9" t="s">
        <v>268</v>
      </c>
      <c r="F2" s="9" t="s">
        <v>54</v>
      </c>
      <c r="G2" s="9" t="s">
        <v>269</v>
      </c>
    </row>
    <row r="3" customFormat="false" ht="68.65" hidden="false" customHeight="false" outlineLevel="0" collapsed="false">
      <c r="A3" s="10" t="s">
        <v>270</v>
      </c>
      <c r="B3" s="10" t="s">
        <v>271</v>
      </c>
      <c r="C3" s="10" t="s">
        <v>272</v>
      </c>
      <c r="D3" s="10" t="s">
        <v>273</v>
      </c>
      <c r="E3" s="10" t="s">
        <v>274</v>
      </c>
      <c r="F3" s="10" t="s">
        <v>528</v>
      </c>
      <c r="G3" s="10" t="s">
        <v>690</v>
      </c>
    </row>
    <row r="4" customFormat="false" ht="82.05" hidden="false" customHeight="false" outlineLevel="0" collapsed="false">
      <c r="A4" s="10" t="s">
        <v>275</v>
      </c>
      <c r="B4" s="10" t="s">
        <v>276</v>
      </c>
      <c r="C4" s="10" t="s">
        <v>277</v>
      </c>
      <c r="D4" s="10" t="s">
        <v>278</v>
      </c>
      <c r="E4" s="10" t="s">
        <v>279</v>
      </c>
      <c r="F4" s="10" t="s">
        <v>528</v>
      </c>
      <c r="G4" s="10" t="s">
        <v>690</v>
      </c>
    </row>
    <row r="5" customFormat="false" ht="68.65" hidden="false" customHeight="false" outlineLevel="0" collapsed="false">
      <c r="A5" s="10" t="s">
        <v>280</v>
      </c>
      <c r="B5" s="10" t="s">
        <v>281</v>
      </c>
      <c r="C5" s="10" t="s">
        <v>282</v>
      </c>
      <c r="D5" s="10" t="s">
        <v>283</v>
      </c>
      <c r="E5" s="10" t="s">
        <v>284</v>
      </c>
      <c r="F5" s="10" t="s">
        <v>528</v>
      </c>
      <c r="G5" s="10" t="s">
        <v>690</v>
      </c>
    </row>
    <row r="6" customFormat="false" ht="41.75" hidden="false" customHeight="false" outlineLevel="0" collapsed="false">
      <c r="A6" s="10" t="s">
        <v>285</v>
      </c>
      <c r="B6" s="10" t="s">
        <v>286</v>
      </c>
      <c r="C6" s="10" t="s">
        <v>287</v>
      </c>
      <c r="D6" s="10" t="s">
        <v>288</v>
      </c>
      <c r="E6" s="10" t="s">
        <v>289</v>
      </c>
      <c r="F6" s="10" t="s">
        <v>528</v>
      </c>
      <c r="G6" s="10" t="s">
        <v>690</v>
      </c>
    </row>
    <row r="7" customFormat="false" ht="55.2" hidden="false" customHeight="false" outlineLevel="0" collapsed="false">
      <c r="A7" s="10" t="s">
        <v>290</v>
      </c>
      <c r="B7" s="10" t="s">
        <v>291</v>
      </c>
      <c r="C7" s="10" t="s">
        <v>292</v>
      </c>
      <c r="D7" s="10" t="s">
        <v>293</v>
      </c>
      <c r="E7" s="10" t="s">
        <v>294</v>
      </c>
      <c r="F7" s="10" t="s">
        <v>528</v>
      </c>
      <c r="G7" s="10" t="s">
        <v>690</v>
      </c>
    </row>
    <row r="8" customFormat="false" ht="68.65" hidden="false" customHeight="false" outlineLevel="0" collapsed="false">
      <c r="A8" s="10" t="s">
        <v>295</v>
      </c>
      <c r="B8" s="10" t="s">
        <v>296</v>
      </c>
      <c r="C8" s="10" t="s">
        <v>297</v>
      </c>
      <c r="D8" s="10" t="s">
        <v>298</v>
      </c>
      <c r="E8" s="10" t="s">
        <v>299</v>
      </c>
      <c r="F8" s="10" t="s">
        <v>528</v>
      </c>
      <c r="G8" s="10" t="s">
        <v>690</v>
      </c>
    </row>
    <row r="9" customFormat="false" ht="55.2" hidden="false" customHeight="false" outlineLevel="0" collapsed="false">
      <c r="A9" s="10" t="s">
        <v>300</v>
      </c>
      <c r="B9" s="10" t="s">
        <v>301</v>
      </c>
      <c r="C9" s="10" t="s">
        <v>302</v>
      </c>
      <c r="D9" s="10" t="s">
        <v>303</v>
      </c>
      <c r="E9" s="10" t="s">
        <v>304</v>
      </c>
      <c r="F9" s="10" t="s">
        <v>528</v>
      </c>
      <c r="G9" s="10" t="s">
        <v>690</v>
      </c>
    </row>
    <row r="10" customFormat="false" ht="41.75" hidden="false" customHeight="false" outlineLevel="0" collapsed="false">
      <c r="A10" s="10" t="s">
        <v>305</v>
      </c>
      <c r="B10" s="10" t="s">
        <v>306</v>
      </c>
      <c r="C10" s="10" t="s">
        <v>307</v>
      </c>
      <c r="D10" s="10" t="s">
        <v>308</v>
      </c>
      <c r="E10" s="10" t="s">
        <v>309</v>
      </c>
      <c r="F10" s="10" t="s">
        <v>528</v>
      </c>
      <c r="G10" s="10" t="s">
        <v>690</v>
      </c>
    </row>
    <row r="11" customFormat="false" ht="55.2" hidden="false" customHeight="false" outlineLevel="0" collapsed="false">
      <c r="A11" s="10" t="s">
        <v>310</v>
      </c>
      <c r="B11" s="10" t="s">
        <v>311</v>
      </c>
      <c r="C11" s="10" t="s">
        <v>312</v>
      </c>
      <c r="D11" s="10" t="s">
        <v>313</v>
      </c>
      <c r="E11" s="10" t="s">
        <v>314</v>
      </c>
      <c r="F11" s="10" t="s">
        <v>528</v>
      </c>
      <c r="G11" s="10" t="s">
        <v>690</v>
      </c>
    </row>
    <row r="12" customFormat="false" ht="55.2" hidden="false" customHeight="false" outlineLevel="0" collapsed="false">
      <c r="A12" s="10" t="s">
        <v>315</v>
      </c>
      <c r="B12" s="10" t="s">
        <v>316</v>
      </c>
      <c r="C12" s="10" t="s">
        <v>317</v>
      </c>
      <c r="D12" s="10" t="s">
        <v>318</v>
      </c>
      <c r="E12" s="10" t="s">
        <v>319</v>
      </c>
      <c r="F12" s="10" t="s">
        <v>528</v>
      </c>
      <c r="G12" s="10" t="s">
        <v>690</v>
      </c>
    </row>
    <row r="13" customFormat="false" ht="55.2" hidden="false" customHeight="false" outlineLevel="0" collapsed="false">
      <c r="A13" s="10" t="s">
        <v>320</v>
      </c>
      <c r="B13" s="10" t="s">
        <v>321</v>
      </c>
      <c r="C13" s="10" t="s">
        <v>322</v>
      </c>
      <c r="D13" s="10" t="s">
        <v>323</v>
      </c>
      <c r="E13" s="10" t="s">
        <v>324</v>
      </c>
      <c r="F13" s="10" t="s">
        <v>528</v>
      </c>
      <c r="G13" s="10" t="s">
        <v>690</v>
      </c>
    </row>
    <row r="14" customFormat="false" ht="41.75" hidden="false" customHeight="false" outlineLevel="0" collapsed="false">
      <c r="A14" s="10" t="s">
        <v>325</v>
      </c>
      <c r="B14" s="10" t="s">
        <v>326</v>
      </c>
      <c r="C14" s="10" t="s">
        <v>327</v>
      </c>
      <c r="D14" s="10" t="s">
        <v>328</v>
      </c>
      <c r="E14" s="10" t="s">
        <v>329</v>
      </c>
      <c r="F14" s="10" t="s">
        <v>528</v>
      </c>
      <c r="G14" s="10" t="s">
        <v>690</v>
      </c>
    </row>
    <row r="15" customFormat="false" ht="41.75" hidden="false" customHeight="false" outlineLevel="0" collapsed="false">
      <c r="A15" s="10" t="s">
        <v>330</v>
      </c>
      <c r="B15" s="10" t="s">
        <v>331</v>
      </c>
      <c r="C15" s="10" t="s">
        <v>332</v>
      </c>
      <c r="D15" s="10" t="s">
        <v>333</v>
      </c>
      <c r="E15" s="10" t="s">
        <v>334</v>
      </c>
      <c r="F15" s="10" t="s">
        <v>528</v>
      </c>
      <c r="G15" s="10" t="s">
        <v>690</v>
      </c>
    </row>
    <row r="16" customFormat="false" ht="55.2" hidden="false" customHeight="false" outlineLevel="0" collapsed="false">
      <c r="A16" s="10" t="s">
        <v>335</v>
      </c>
      <c r="B16" s="10" t="s">
        <v>336</v>
      </c>
      <c r="C16" s="10" t="s">
        <v>337</v>
      </c>
      <c r="D16" s="10" t="s">
        <v>338</v>
      </c>
      <c r="E16" s="10" t="s">
        <v>339</v>
      </c>
      <c r="F16" s="10" t="s">
        <v>528</v>
      </c>
      <c r="G16" s="10" t="s">
        <v>690</v>
      </c>
    </row>
    <row r="17" customFormat="false" ht="41.75" hidden="false" customHeight="false" outlineLevel="0" collapsed="false">
      <c r="A17" s="10" t="s">
        <v>340</v>
      </c>
      <c r="B17" s="10" t="s">
        <v>341</v>
      </c>
      <c r="C17" s="10" t="s">
        <v>342</v>
      </c>
      <c r="D17" s="10" t="s">
        <v>343</v>
      </c>
      <c r="E17" s="10" t="s">
        <v>344</v>
      </c>
      <c r="F17" s="10" t="s">
        <v>528</v>
      </c>
      <c r="G17" s="10" t="s">
        <v>690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25"/>
    <col collapsed="false" customWidth="true" hidden="false" outlineLevel="0" max="7" min="7" style="0" width="12"/>
    <col collapsed="false" customWidth="true" hidden="false" outlineLevel="0" max="8" min="8" style="0" width="15"/>
  </cols>
  <sheetData>
    <row r="1" customFormat="false" ht="24.75" hidden="false" customHeight="true" outlineLevel="0" collapsed="false">
      <c r="A1" s="1" t="s">
        <v>345</v>
      </c>
      <c r="B1" s="1"/>
      <c r="C1" s="1"/>
      <c r="D1" s="1"/>
      <c r="E1" s="1"/>
      <c r="F1" s="1"/>
      <c r="G1" s="1"/>
      <c r="H1" s="1"/>
    </row>
    <row r="2" customFormat="false" ht="23.85" hidden="false" customHeight="false" outlineLevel="0" collapsed="false">
      <c r="A2" s="9" t="s">
        <v>48</v>
      </c>
      <c r="B2" s="9" t="s">
        <v>346</v>
      </c>
      <c r="C2" s="9" t="s">
        <v>347</v>
      </c>
      <c r="D2" s="9" t="s">
        <v>348</v>
      </c>
      <c r="E2" s="9" t="s">
        <v>349</v>
      </c>
      <c r="F2" s="9" t="s">
        <v>350</v>
      </c>
      <c r="G2" s="9" t="s">
        <v>54</v>
      </c>
      <c r="H2" s="9" t="s">
        <v>351</v>
      </c>
    </row>
    <row r="3" customFormat="false" ht="28.35" hidden="false" customHeight="false" outlineLevel="0" collapsed="false">
      <c r="A3" s="10" t="s">
        <v>352</v>
      </c>
      <c r="B3" s="10" t="s">
        <v>353</v>
      </c>
      <c r="C3" s="10" t="s">
        <v>354</v>
      </c>
      <c r="D3" s="10" t="n">
        <v>1</v>
      </c>
      <c r="E3" s="10" t="s">
        <v>355</v>
      </c>
      <c r="F3" s="10" t="s">
        <v>356</v>
      </c>
      <c r="G3" s="10" t="s">
        <v>528</v>
      </c>
      <c r="H3" s="10" t="s">
        <v>691</v>
      </c>
    </row>
    <row r="4" customFormat="false" ht="15" hidden="false" customHeight="false" outlineLevel="0" collapsed="false">
      <c r="A4" s="10" t="s">
        <v>357</v>
      </c>
      <c r="B4" s="10" t="s">
        <v>353</v>
      </c>
      <c r="C4" s="10" t="s">
        <v>358</v>
      </c>
      <c r="D4" s="10" t="n">
        <v>50</v>
      </c>
      <c r="E4" s="10" t="s">
        <v>359</v>
      </c>
      <c r="F4" s="10" t="s">
        <v>360</v>
      </c>
      <c r="G4" s="10" t="s">
        <v>528</v>
      </c>
      <c r="H4" s="10" t="s">
        <v>692</v>
      </c>
    </row>
    <row r="5" customFormat="false" ht="15" hidden="false" customHeight="false" outlineLevel="0" collapsed="false">
      <c r="A5" s="10" t="s">
        <v>361</v>
      </c>
      <c r="B5" s="10" t="s">
        <v>353</v>
      </c>
      <c r="C5" s="10" t="s">
        <v>362</v>
      </c>
      <c r="D5" s="10" t="n">
        <v>500</v>
      </c>
      <c r="E5" s="10" t="s">
        <v>363</v>
      </c>
      <c r="F5" s="10" t="s">
        <v>364</v>
      </c>
      <c r="G5" s="10" t="s">
        <v>528</v>
      </c>
      <c r="H5" s="10" t="s">
        <v>693</v>
      </c>
    </row>
    <row r="6" customFormat="false" ht="15" hidden="false" customHeight="false" outlineLevel="0" collapsed="false">
      <c r="A6" s="10" t="s">
        <v>365</v>
      </c>
      <c r="B6" s="10" t="s">
        <v>366</v>
      </c>
      <c r="C6" s="10" t="s">
        <v>354</v>
      </c>
      <c r="D6" s="10" t="n">
        <v>1</v>
      </c>
      <c r="E6" s="10" t="s">
        <v>367</v>
      </c>
      <c r="F6" s="10" t="s">
        <v>368</v>
      </c>
      <c r="G6" s="10" t="s">
        <v>528</v>
      </c>
      <c r="H6" s="10" t="s">
        <v>694</v>
      </c>
    </row>
    <row r="7" customFormat="false" ht="15" hidden="false" customHeight="false" outlineLevel="0" collapsed="false">
      <c r="A7" s="10" t="s">
        <v>369</v>
      </c>
      <c r="B7" s="10" t="s">
        <v>366</v>
      </c>
      <c r="C7" s="10" t="s">
        <v>362</v>
      </c>
      <c r="D7" s="10" t="n">
        <v>1000</v>
      </c>
      <c r="E7" s="10" t="s">
        <v>370</v>
      </c>
      <c r="F7" s="10" t="s">
        <v>371</v>
      </c>
      <c r="G7" s="10" t="s">
        <v>528</v>
      </c>
      <c r="H7" s="10" t="s">
        <v>695</v>
      </c>
    </row>
    <row r="8" customFormat="false" ht="15" hidden="false" customHeight="false" outlineLevel="0" collapsed="false">
      <c r="A8" s="10" t="s">
        <v>372</v>
      </c>
      <c r="B8" s="10" t="s">
        <v>373</v>
      </c>
      <c r="C8" s="10" t="s">
        <v>354</v>
      </c>
      <c r="D8" s="10" t="n">
        <v>1</v>
      </c>
      <c r="E8" s="10" t="s">
        <v>374</v>
      </c>
      <c r="F8" s="10" t="s">
        <v>375</v>
      </c>
      <c r="G8" s="10" t="s">
        <v>528</v>
      </c>
      <c r="H8" s="10" t="s">
        <v>696</v>
      </c>
    </row>
    <row r="9" customFormat="false" ht="15" hidden="false" customHeight="false" outlineLevel="0" collapsed="false">
      <c r="A9" s="10" t="s">
        <v>376</v>
      </c>
      <c r="B9" s="10" t="s">
        <v>88</v>
      </c>
      <c r="C9" s="10" t="s">
        <v>377</v>
      </c>
      <c r="D9" s="10" t="n">
        <v>100</v>
      </c>
      <c r="E9" s="10" t="s">
        <v>378</v>
      </c>
      <c r="F9" s="10" t="s">
        <v>379</v>
      </c>
      <c r="G9" s="10" t="s">
        <v>528</v>
      </c>
      <c r="H9" s="10" t="s">
        <v>697</v>
      </c>
    </row>
    <row r="10" customFormat="false" ht="15" hidden="false" customHeight="false" outlineLevel="0" collapsed="false">
      <c r="A10" s="10" t="s">
        <v>380</v>
      </c>
      <c r="B10" s="10" t="s">
        <v>381</v>
      </c>
      <c r="C10" s="10" t="s">
        <v>382</v>
      </c>
      <c r="D10" s="10" t="n">
        <v>10</v>
      </c>
      <c r="E10" s="10" t="s">
        <v>383</v>
      </c>
      <c r="F10" s="10" t="s">
        <v>384</v>
      </c>
      <c r="G10" s="10" t="s">
        <v>528</v>
      </c>
      <c r="H10" s="10" t="s">
        <v>698</v>
      </c>
    </row>
    <row r="11" customFormat="false" ht="15" hidden="false" customHeight="false" outlineLevel="0" collapsed="false">
      <c r="A11" s="10" t="s">
        <v>385</v>
      </c>
      <c r="B11" s="10" t="s">
        <v>381</v>
      </c>
      <c r="C11" s="10" t="s">
        <v>386</v>
      </c>
      <c r="D11" s="10" t="n">
        <v>10</v>
      </c>
      <c r="E11" s="10" t="s">
        <v>387</v>
      </c>
      <c r="F11" s="10" t="s">
        <v>384</v>
      </c>
      <c r="G11" s="10" t="s">
        <v>528</v>
      </c>
      <c r="H11" s="10" t="s">
        <v>699</v>
      </c>
    </row>
    <row r="12" customFormat="false" ht="15" hidden="false" customHeight="false" outlineLevel="0" collapsed="false">
      <c r="A12" s="10" t="s">
        <v>388</v>
      </c>
      <c r="B12" s="10" t="s">
        <v>389</v>
      </c>
      <c r="C12" s="10" t="s">
        <v>390</v>
      </c>
      <c r="D12" s="10" t="n">
        <v>50</v>
      </c>
      <c r="E12" s="10" t="s">
        <v>363</v>
      </c>
      <c r="F12" s="10" t="s">
        <v>391</v>
      </c>
      <c r="G12" s="10" t="s">
        <v>528</v>
      </c>
      <c r="H12" s="10" t="s">
        <v>700</v>
      </c>
    </row>
    <row r="13" customFormat="false" ht="15" hidden="false" customHeight="false" outlineLevel="0" collapsed="false">
      <c r="A13" s="10" t="s">
        <v>392</v>
      </c>
      <c r="B13" s="10" t="s">
        <v>393</v>
      </c>
      <c r="C13" s="10" t="s">
        <v>394</v>
      </c>
      <c r="D13" s="10" t="n">
        <v>100</v>
      </c>
      <c r="E13" s="10" t="s">
        <v>395</v>
      </c>
      <c r="F13" s="10" t="s">
        <v>396</v>
      </c>
      <c r="G13" s="10" t="s">
        <v>528</v>
      </c>
      <c r="H13" s="10" t="s">
        <v>701</v>
      </c>
    </row>
    <row r="14" customFormat="false" ht="28.35" hidden="false" customHeight="false" outlineLevel="0" collapsed="false">
      <c r="A14" s="10" t="s">
        <v>397</v>
      </c>
      <c r="B14" s="10" t="s">
        <v>398</v>
      </c>
      <c r="C14" s="10" t="s">
        <v>399</v>
      </c>
      <c r="D14" s="10" t="n">
        <v>1000</v>
      </c>
      <c r="E14" s="10" t="s">
        <v>400</v>
      </c>
      <c r="F14" s="10" t="s">
        <v>401</v>
      </c>
      <c r="G14" s="10" t="s">
        <v>528</v>
      </c>
      <c r="H14" s="10" t="s">
        <v>702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6" min="6" style="0" width="15"/>
    <col collapsed="false" customWidth="true" hidden="false" outlineLevel="0" max="7" min="7" style="0" width="12"/>
  </cols>
  <sheetData>
    <row r="1" customFormat="false" ht="24.75" hidden="false" customHeight="true" outlineLevel="0" collapsed="false">
      <c r="A1" s="1" t="s">
        <v>402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9" t="s">
        <v>403</v>
      </c>
      <c r="B2" s="9" t="s">
        <v>404</v>
      </c>
      <c r="C2" s="9" t="s">
        <v>405</v>
      </c>
      <c r="D2" s="9" t="s">
        <v>406</v>
      </c>
      <c r="E2" s="9" t="s">
        <v>407</v>
      </c>
      <c r="F2" s="9" t="s">
        <v>408</v>
      </c>
      <c r="G2" s="9" t="s">
        <v>54</v>
      </c>
    </row>
    <row r="3" customFormat="false" ht="15" hidden="false" customHeight="false" outlineLevel="0" collapsed="false">
      <c r="A3" s="13" t="s">
        <v>409</v>
      </c>
      <c r="B3" s="13" t="s">
        <v>410</v>
      </c>
      <c r="C3" s="13" t="s">
        <v>411</v>
      </c>
      <c r="D3" s="13" t="s">
        <v>528</v>
      </c>
      <c r="E3" s="13" t="s">
        <v>528</v>
      </c>
      <c r="F3" s="13" t="s">
        <v>528</v>
      </c>
      <c r="G3" s="13" t="s">
        <v>528</v>
      </c>
    </row>
    <row r="4" customFormat="false" ht="15" hidden="false" customHeight="false" outlineLevel="0" collapsed="false">
      <c r="A4" s="13" t="s">
        <v>409</v>
      </c>
      <c r="B4" s="13" t="s">
        <v>410</v>
      </c>
      <c r="C4" s="13" t="s">
        <v>415</v>
      </c>
      <c r="D4" s="13" t="s">
        <v>528</v>
      </c>
      <c r="E4" s="13" t="s">
        <v>528</v>
      </c>
      <c r="F4" s="13" t="s">
        <v>528</v>
      </c>
      <c r="G4" s="13" t="s">
        <v>528</v>
      </c>
    </row>
    <row r="5" customFormat="false" ht="15" hidden="false" customHeight="false" outlineLevel="0" collapsed="false">
      <c r="A5" s="13" t="s">
        <v>409</v>
      </c>
      <c r="B5" s="13" t="s">
        <v>410</v>
      </c>
      <c r="C5" s="13" t="s">
        <v>419</v>
      </c>
      <c r="D5" s="13" t="s">
        <v>528</v>
      </c>
      <c r="E5" s="13" t="s">
        <v>528</v>
      </c>
      <c r="F5" s="13" t="s">
        <v>528</v>
      </c>
      <c r="G5" s="13" t="s">
        <v>528</v>
      </c>
    </row>
    <row r="6" customFormat="false" ht="15" hidden="false" customHeight="false" outlineLevel="0" collapsed="false">
      <c r="A6" s="13" t="s">
        <v>421</v>
      </c>
      <c r="B6" s="13" t="s">
        <v>410</v>
      </c>
      <c r="C6" s="13" t="s">
        <v>411</v>
      </c>
      <c r="D6" s="13" t="s">
        <v>528</v>
      </c>
      <c r="E6" s="13" t="s">
        <v>528</v>
      </c>
      <c r="F6" s="13" t="s">
        <v>528</v>
      </c>
      <c r="G6" s="13" t="s">
        <v>528</v>
      </c>
    </row>
    <row r="7" customFormat="false" ht="15" hidden="false" customHeight="false" outlineLevel="0" collapsed="false">
      <c r="A7" s="13" t="s">
        <v>421</v>
      </c>
      <c r="B7" s="13" t="s">
        <v>422</v>
      </c>
      <c r="C7" s="13" t="s">
        <v>411</v>
      </c>
      <c r="D7" s="13" t="s">
        <v>528</v>
      </c>
      <c r="E7" s="13" t="s">
        <v>528</v>
      </c>
      <c r="F7" s="13" t="s">
        <v>528</v>
      </c>
      <c r="G7" s="13" t="s">
        <v>528</v>
      </c>
    </row>
    <row r="8" customFormat="false" ht="15" hidden="false" customHeight="false" outlineLevel="0" collapsed="false">
      <c r="A8" s="13" t="s">
        <v>423</v>
      </c>
      <c r="B8" s="13" t="s">
        <v>410</v>
      </c>
      <c r="C8" s="13" t="s">
        <v>424</v>
      </c>
      <c r="D8" s="13" t="s">
        <v>528</v>
      </c>
      <c r="E8" s="13" t="s">
        <v>528</v>
      </c>
      <c r="F8" s="13" t="s">
        <v>528</v>
      </c>
      <c r="G8" s="13" t="s">
        <v>528</v>
      </c>
    </row>
    <row r="9" customFormat="false" ht="15" hidden="false" customHeight="false" outlineLevel="0" collapsed="false">
      <c r="A9" s="13" t="s">
        <v>423</v>
      </c>
      <c r="B9" s="13" t="s">
        <v>410</v>
      </c>
      <c r="C9" s="13" t="s">
        <v>425</v>
      </c>
      <c r="D9" s="13" t="s">
        <v>528</v>
      </c>
      <c r="E9" s="13" t="s">
        <v>528</v>
      </c>
      <c r="F9" s="13" t="s">
        <v>528</v>
      </c>
      <c r="G9" s="13" t="s">
        <v>528</v>
      </c>
    </row>
    <row r="10" customFormat="false" ht="15" hidden="false" customHeight="false" outlineLevel="0" collapsed="false">
      <c r="A10" s="13" t="s">
        <v>423</v>
      </c>
      <c r="B10" s="13" t="s">
        <v>410</v>
      </c>
      <c r="C10" s="13" t="s">
        <v>426</v>
      </c>
      <c r="D10" s="13" t="s">
        <v>528</v>
      </c>
      <c r="E10" s="13" t="s">
        <v>528</v>
      </c>
      <c r="F10" s="13" t="s">
        <v>528</v>
      </c>
      <c r="G10" s="13" t="s">
        <v>528</v>
      </c>
    </row>
    <row r="11" customFormat="false" ht="15" hidden="false" customHeight="false" outlineLevel="0" collapsed="false">
      <c r="A11" s="13" t="s">
        <v>427</v>
      </c>
      <c r="B11" s="13" t="s">
        <v>410</v>
      </c>
      <c r="C11" s="13" t="s">
        <v>411</v>
      </c>
      <c r="D11" s="13" t="s">
        <v>528</v>
      </c>
      <c r="E11" s="13" t="s">
        <v>528</v>
      </c>
      <c r="F11" s="13" t="s">
        <v>528</v>
      </c>
      <c r="G11" s="13" t="s">
        <v>528</v>
      </c>
    </row>
    <row r="12" customFormat="false" ht="15" hidden="false" customHeight="false" outlineLevel="0" collapsed="false">
      <c r="A12" s="13" t="s">
        <v>428</v>
      </c>
      <c r="B12" s="13" t="s">
        <v>410</v>
      </c>
      <c r="C12" s="13" t="s">
        <v>429</v>
      </c>
      <c r="D12" s="13" t="s">
        <v>528</v>
      </c>
      <c r="E12" s="13" t="s">
        <v>528</v>
      </c>
      <c r="F12" s="13" t="s">
        <v>528</v>
      </c>
      <c r="G12" s="13" t="s">
        <v>528</v>
      </c>
    </row>
    <row r="13" customFormat="false" ht="15" hidden="false" customHeight="false" outlineLevel="0" collapsed="false">
      <c r="A13" s="13" t="s">
        <v>430</v>
      </c>
      <c r="B13" s="13" t="s">
        <v>410</v>
      </c>
      <c r="C13" s="13" t="s">
        <v>431</v>
      </c>
      <c r="D13" s="13" t="s">
        <v>528</v>
      </c>
      <c r="E13" s="13" t="s">
        <v>528</v>
      </c>
      <c r="F13" s="13" t="s">
        <v>528</v>
      </c>
      <c r="G13" s="13" t="s">
        <v>528</v>
      </c>
    </row>
    <row r="14" customFormat="false" ht="15" hidden="false" customHeight="false" outlineLevel="0" collapsed="false">
      <c r="A14" s="13" t="s">
        <v>432</v>
      </c>
      <c r="B14" s="13" t="s">
        <v>433</v>
      </c>
      <c r="C14" s="13" t="s">
        <v>434</v>
      </c>
      <c r="D14" s="13" t="s">
        <v>528</v>
      </c>
      <c r="E14" s="13" t="s">
        <v>528</v>
      </c>
      <c r="F14" s="13" t="s">
        <v>528</v>
      </c>
      <c r="G14" s="13" t="s">
        <v>528</v>
      </c>
    </row>
    <row r="15" customFormat="false" ht="15" hidden="false" customHeight="false" outlineLevel="0" collapsed="false">
      <c r="A15" s="13" t="s">
        <v>435</v>
      </c>
      <c r="B15" s="13" t="s">
        <v>436</v>
      </c>
      <c r="C15" s="13" t="s">
        <v>437</v>
      </c>
      <c r="D15" s="13" t="s">
        <v>528</v>
      </c>
      <c r="E15" s="13" t="s">
        <v>528</v>
      </c>
      <c r="F15" s="13" t="s">
        <v>528</v>
      </c>
      <c r="G15" s="13" t="s">
        <v>528</v>
      </c>
    </row>
    <row r="16" customFormat="false" ht="15" hidden="false" customHeight="false" outlineLevel="0" collapsed="false">
      <c r="A16" s="13" t="s">
        <v>438</v>
      </c>
      <c r="B16" s="13" t="s">
        <v>439</v>
      </c>
      <c r="C16" s="13" t="s">
        <v>434</v>
      </c>
      <c r="D16" s="13" t="s">
        <v>528</v>
      </c>
      <c r="E16" s="13" t="s">
        <v>528</v>
      </c>
      <c r="F16" s="13" t="s">
        <v>528</v>
      </c>
      <c r="G16" s="13" t="s">
        <v>528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5" min="4" style="0" width="18"/>
    <col collapsed="false" customWidth="true" hidden="false" outlineLevel="0" max="6" min="6" style="0" width="25"/>
    <col collapsed="false" customWidth="true" hidden="false" outlineLevel="0" max="8" min="7" style="0" width="12"/>
  </cols>
  <sheetData>
    <row r="1" customFormat="false" ht="24.75" hidden="false" customHeight="true" outlineLevel="0" collapsed="false">
      <c r="A1" s="1" t="s">
        <v>440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9" t="s">
        <v>48</v>
      </c>
      <c r="B2" s="9" t="s">
        <v>441</v>
      </c>
      <c r="C2" s="9" t="s">
        <v>442</v>
      </c>
      <c r="D2" s="9" t="s">
        <v>443</v>
      </c>
      <c r="E2" s="9" t="s">
        <v>444</v>
      </c>
      <c r="F2" s="9" t="s">
        <v>445</v>
      </c>
      <c r="G2" s="9" t="s">
        <v>54</v>
      </c>
      <c r="H2" s="9" t="s">
        <v>55</v>
      </c>
    </row>
    <row r="3" customFormat="false" ht="28.35" hidden="false" customHeight="false" outlineLevel="0" collapsed="false">
      <c r="A3" s="10" t="s">
        <v>446</v>
      </c>
      <c r="B3" s="10" t="s">
        <v>447</v>
      </c>
      <c r="C3" s="10" t="s">
        <v>448</v>
      </c>
      <c r="D3" s="10" t="s">
        <v>449</v>
      </c>
      <c r="E3" s="10" t="s">
        <v>450</v>
      </c>
      <c r="F3" s="10" t="s">
        <v>451</v>
      </c>
      <c r="G3" s="10" t="s">
        <v>528</v>
      </c>
      <c r="H3" s="10" t="s">
        <v>703</v>
      </c>
    </row>
    <row r="4" customFormat="false" ht="28.35" hidden="false" customHeight="false" outlineLevel="0" collapsed="false">
      <c r="A4" s="10" t="s">
        <v>452</v>
      </c>
      <c r="B4" s="10" t="s">
        <v>453</v>
      </c>
      <c r="C4" s="10" t="s">
        <v>448</v>
      </c>
      <c r="D4" s="10" t="s">
        <v>454</v>
      </c>
      <c r="E4" s="10" t="s">
        <v>450</v>
      </c>
      <c r="F4" s="10" t="s">
        <v>455</v>
      </c>
      <c r="G4" s="10" t="s">
        <v>528</v>
      </c>
      <c r="H4" s="10" t="s">
        <v>704</v>
      </c>
    </row>
    <row r="5" customFormat="false" ht="15" hidden="false" customHeight="false" outlineLevel="0" collapsed="false">
      <c r="A5" s="10" t="s">
        <v>456</v>
      </c>
      <c r="B5" s="10" t="s">
        <v>453</v>
      </c>
      <c r="C5" s="10" t="s">
        <v>457</v>
      </c>
      <c r="D5" s="10" t="s">
        <v>458</v>
      </c>
      <c r="E5" s="10" t="s">
        <v>459</v>
      </c>
      <c r="F5" s="10" t="s">
        <v>460</v>
      </c>
      <c r="G5" s="10" t="s">
        <v>528</v>
      </c>
      <c r="H5" s="10" t="s">
        <v>705</v>
      </c>
    </row>
    <row r="6" customFormat="false" ht="15" hidden="false" customHeight="false" outlineLevel="0" collapsed="false">
      <c r="A6" s="10" t="s">
        <v>461</v>
      </c>
      <c r="B6" s="10" t="s">
        <v>462</v>
      </c>
      <c r="C6" s="10" t="s">
        <v>463</v>
      </c>
      <c r="D6" s="10" t="s">
        <v>464</v>
      </c>
      <c r="E6" s="10" t="s">
        <v>450</v>
      </c>
      <c r="F6" s="10" t="s">
        <v>465</v>
      </c>
      <c r="G6" s="10" t="s">
        <v>528</v>
      </c>
      <c r="H6" s="10" t="s">
        <v>706</v>
      </c>
    </row>
    <row r="7" customFormat="false" ht="15" hidden="false" customHeight="false" outlineLevel="0" collapsed="false">
      <c r="A7" s="10" t="s">
        <v>466</v>
      </c>
      <c r="B7" s="10" t="s">
        <v>462</v>
      </c>
      <c r="C7" s="10" t="s">
        <v>467</v>
      </c>
      <c r="D7" s="10" t="s">
        <v>449</v>
      </c>
      <c r="E7" s="10" t="s">
        <v>468</v>
      </c>
      <c r="F7" s="10" t="s">
        <v>469</v>
      </c>
      <c r="G7" s="10" t="s">
        <v>528</v>
      </c>
      <c r="H7" s="10" t="s">
        <v>707</v>
      </c>
    </row>
    <row r="8" customFormat="false" ht="15" hidden="false" customHeight="false" outlineLevel="0" collapsed="false">
      <c r="A8" s="10" t="s">
        <v>470</v>
      </c>
      <c r="B8" s="10" t="s">
        <v>462</v>
      </c>
      <c r="C8" s="10" t="s">
        <v>448</v>
      </c>
      <c r="D8" s="10" t="s">
        <v>471</v>
      </c>
      <c r="E8" s="10" t="s">
        <v>472</v>
      </c>
      <c r="F8" s="10" t="s">
        <v>473</v>
      </c>
      <c r="G8" s="10" t="s">
        <v>528</v>
      </c>
      <c r="H8" s="10" t="s">
        <v>708</v>
      </c>
    </row>
    <row r="9" customFormat="false" ht="15" hidden="false" customHeight="false" outlineLevel="0" collapsed="false">
      <c r="A9" s="10" t="s">
        <v>474</v>
      </c>
      <c r="B9" s="10" t="s">
        <v>475</v>
      </c>
      <c r="C9" s="10" t="s">
        <v>448</v>
      </c>
      <c r="D9" s="10" t="s">
        <v>476</v>
      </c>
      <c r="E9" s="10" t="s">
        <v>450</v>
      </c>
      <c r="F9" s="10" t="s">
        <v>477</v>
      </c>
      <c r="G9" s="10" t="s">
        <v>528</v>
      </c>
      <c r="H9" s="10" t="s">
        <v>709</v>
      </c>
    </row>
    <row r="10" customFormat="false" ht="15" hidden="false" customHeight="false" outlineLevel="0" collapsed="false">
      <c r="A10" s="10" t="s">
        <v>478</v>
      </c>
      <c r="B10" s="10" t="s">
        <v>475</v>
      </c>
      <c r="C10" s="10" t="s">
        <v>457</v>
      </c>
      <c r="D10" s="10" t="s">
        <v>479</v>
      </c>
      <c r="E10" s="10" t="s">
        <v>459</v>
      </c>
      <c r="F10" s="10" t="s">
        <v>480</v>
      </c>
      <c r="G10" s="10" t="s">
        <v>528</v>
      </c>
      <c r="H10" s="10" t="s">
        <v>710</v>
      </c>
    </row>
    <row r="11" customFormat="false" ht="15" hidden="false" customHeight="false" outlineLevel="0" collapsed="false">
      <c r="A11" s="10" t="s">
        <v>481</v>
      </c>
      <c r="B11" s="10" t="s">
        <v>482</v>
      </c>
      <c r="C11" s="10" t="s">
        <v>448</v>
      </c>
      <c r="D11" s="10" t="s">
        <v>483</v>
      </c>
      <c r="E11" s="10" t="s">
        <v>450</v>
      </c>
      <c r="F11" s="10" t="s">
        <v>484</v>
      </c>
      <c r="G11" s="10" t="s">
        <v>528</v>
      </c>
      <c r="H11" s="10" t="s">
        <v>711</v>
      </c>
    </row>
    <row r="12" customFormat="false" ht="28.35" hidden="false" customHeight="false" outlineLevel="0" collapsed="false">
      <c r="A12" s="10" t="s">
        <v>485</v>
      </c>
      <c r="B12" s="10" t="s">
        <v>486</v>
      </c>
      <c r="C12" s="10" t="s">
        <v>448</v>
      </c>
      <c r="D12" s="10" t="s">
        <v>487</v>
      </c>
      <c r="E12" s="10" t="s">
        <v>450</v>
      </c>
      <c r="F12" s="10" t="s">
        <v>488</v>
      </c>
      <c r="G12" s="10" t="s">
        <v>528</v>
      </c>
      <c r="H12" s="10" t="s">
        <v>712</v>
      </c>
    </row>
    <row r="13" customFormat="false" ht="15" hidden="false" customHeight="false" outlineLevel="0" collapsed="false">
      <c r="A13" s="10" t="s">
        <v>489</v>
      </c>
      <c r="B13" s="10" t="s">
        <v>490</v>
      </c>
      <c r="C13" s="10" t="s">
        <v>491</v>
      </c>
      <c r="D13" s="10" t="s">
        <v>492</v>
      </c>
      <c r="E13" s="10" t="s">
        <v>450</v>
      </c>
      <c r="F13" s="10" t="s">
        <v>493</v>
      </c>
      <c r="G13" s="10" t="s">
        <v>528</v>
      </c>
      <c r="H13" s="10" t="s">
        <v>713</v>
      </c>
    </row>
    <row r="14" customFormat="false" ht="15" hidden="false" customHeight="false" outlineLevel="0" collapsed="false">
      <c r="A14" s="10" t="s">
        <v>494</v>
      </c>
      <c r="B14" s="10" t="s">
        <v>495</v>
      </c>
      <c r="C14" s="10" t="s">
        <v>457</v>
      </c>
      <c r="D14" s="10" t="s">
        <v>496</v>
      </c>
      <c r="E14" s="10" t="s">
        <v>450</v>
      </c>
      <c r="F14" s="10" t="s">
        <v>497</v>
      </c>
      <c r="G14" s="10" t="s">
        <v>528</v>
      </c>
      <c r="H14" s="10" t="s">
        <v>714</v>
      </c>
    </row>
    <row r="15" customFormat="false" ht="15" hidden="false" customHeight="false" outlineLevel="0" collapsed="false">
      <c r="A15" s="10" t="s">
        <v>498</v>
      </c>
      <c r="B15" s="10" t="s">
        <v>495</v>
      </c>
      <c r="C15" s="10" t="s">
        <v>457</v>
      </c>
      <c r="D15" s="10" t="s">
        <v>499</v>
      </c>
      <c r="E15" s="10" t="s">
        <v>500</v>
      </c>
      <c r="F15" s="10" t="s">
        <v>501</v>
      </c>
      <c r="G15" s="10" t="s">
        <v>528</v>
      </c>
      <c r="H15" s="10" t="s">
        <v>715</v>
      </c>
    </row>
    <row r="16" customFormat="false" ht="15" hidden="false" customHeight="false" outlineLevel="0" collapsed="false">
      <c r="A16" s="10" t="s">
        <v>502</v>
      </c>
      <c r="B16" s="10" t="s">
        <v>503</v>
      </c>
      <c r="C16" s="10" t="s">
        <v>457</v>
      </c>
      <c r="D16" s="10" t="s">
        <v>504</v>
      </c>
      <c r="E16" s="10" t="s">
        <v>450</v>
      </c>
      <c r="F16" s="10" t="s">
        <v>505</v>
      </c>
      <c r="G16" s="10" t="s">
        <v>528</v>
      </c>
      <c r="H16" s="10" t="s">
        <v>716</v>
      </c>
    </row>
    <row r="17" customFormat="false" ht="15" hidden="false" customHeight="false" outlineLevel="0" collapsed="false">
      <c r="A17" s="10" t="s">
        <v>506</v>
      </c>
      <c r="B17" s="10" t="s">
        <v>507</v>
      </c>
      <c r="C17" s="10" t="s">
        <v>457</v>
      </c>
      <c r="D17" s="10" t="s">
        <v>508</v>
      </c>
      <c r="E17" s="10" t="s">
        <v>500</v>
      </c>
      <c r="F17" s="10" t="s">
        <v>509</v>
      </c>
      <c r="G17" s="10" t="s">
        <v>528</v>
      </c>
      <c r="H17" s="10" t="s">
        <v>717</v>
      </c>
    </row>
    <row r="18" customFormat="false" ht="15" hidden="false" customHeight="false" outlineLevel="0" collapsed="false">
      <c r="A18" s="10" t="s">
        <v>510</v>
      </c>
      <c r="B18" s="10" t="s">
        <v>507</v>
      </c>
      <c r="C18" s="10" t="s">
        <v>448</v>
      </c>
      <c r="D18" s="10" t="s">
        <v>511</v>
      </c>
      <c r="E18" s="10" t="s">
        <v>450</v>
      </c>
      <c r="F18" s="10" t="s">
        <v>512</v>
      </c>
      <c r="G18" s="10" t="s">
        <v>528</v>
      </c>
      <c r="H18" s="10" t="s">
        <v>718</v>
      </c>
    </row>
    <row r="19" customFormat="false" ht="15" hidden="false" customHeight="false" outlineLevel="0" collapsed="false">
      <c r="A19" s="10" t="s">
        <v>513</v>
      </c>
      <c r="B19" s="10" t="s">
        <v>514</v>
      </c>
      <c r="C19" s="10" t="s">
        <v>448</v>
      </c>
      <c r="D19" s="10" t="s">
        <v>515</v>
      </c>
      <c r="E19" s="10" t="s">
        <v>450</v>
      </c>
      <c r="F19" s="10" t="s">
        <v>516</v>
      </c>
      <c r="G19" s="10" t="s">
        <v>528</v>
      </c>
      <c r="H19" s="10" t="s">
        <v>719</v>
      </c>
    </row>
    <row r="20" customFormat="false" ht="15" hidden="false" customHeight="false" outlineLevel="0" collapsed="false">
      <c r="A20" s="10" t="s">
        <v>517</v>
      </c>
      <c r="B20" s="10" t="s">
        <v>518</v>
      </c>
      <c r="C20" s="10" t="s">
        <v>448</v>
      </c>
      <c r="D20" s="10" t="s">
        <v>449</v>
      </c>
      <c r="E20" s="10" t="s">
        <v>450</v>
      </c>
      <c r="F20" s="10" t="s">
        <v>519</v>
      </c>
      <c r="G20" s="10" t="s">
        <v>528</v>
      </c>
      <c r="H20" s="10" t="s">
        <v>720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4" min="3" style="0" width="15"/>
    <col collapsed="false" customWidth="true" hidden="false" outlineLevel="0" max="5" min="5" style="0" width="12"/>
    <col collapsed="false" customWidth="true" hidden="false" outlineLevel="0" max="7" min="6" style="0" width="18"/>
    <col collapsed="false" customWidth="true" hidden="false" outlineLevel="0" max="8" min="8" style="0" width="20"/>
  </cols>
  <sheetData>
    <row r="1" customFormat="false" ht="24.75" hidden="false" customHeight="true" outlineLevel="0" collapsed="false">
      <c r="A1" s="1" t="s">
        <v>520</v>
      </c>
      <c r="B1" s="1"/>
      <c r="C1" s="1"/>
      <c r="D1" s="1"/>
      <c r="E1" s="1"/>
      <c r="F1" s="1"/>
      <c r="G1" s="1"/>
      <c r="H1" s="1"/>
    </row>
    <row r="2" customFormat="false" ht="23.85" hidden="false" customHeight="false" outlineLevel="0" collapsed="false">
      <c r="A2" s="9" t="s">
        <v>521</v>
      </c>
      <c r="B2" s="9" t="s">
        <v>48</v>
      </c>
      <c r="C2" s="9" t="s">
        <v>49</v>
      </c>
      <c r="D2" s="9" t="s">
        <v>522</v>
      </c>
      <c r="E2" s="9" t="s">
        <v>351</v>
      </c>
      <c r="F2" s="9" t="s">
        <v>523</v>
      </c>
      <c r="G2" s="9" t="s">
        <v>524</v>
      </c>
      <c r="H2" s="9" t="s">
        <v>525</v>
      </c>
    </row>
    <row r="3" customFormat="false" ht="28.35" hidden="false" customHeight="false" outlineLevel="0" collapsed="false">
      <c r="A3" s="10" t="s">
        <v>7</v>
      </c>
      <c r="B3" s="10" t="s">
        <v>56</v>
      </c>
      <c r="C3" s="10" t="s">
        <v>57</v>
      </c>
      <c r="D3" s="10" t="s">
        <v>721</v>
      </c>
      <c r="E3" s="14" t="s">
        <v>528</v>
      </c>
      <c r="F3" s="10" t="s">
        <v>722</v>
      </c>
      <c r="G3" s="10" t="s">
        <v>529</v>
      </c>
      <c r="H3" s="10" t="s">
        <v>723</v>
      </c>
    </row>
    <row r="4" customFormat="false" ht="25.0" hidden="false" customHeight="false" outlineLevel="0" collapsed="false">
      <c r="A4" t="s">
        <v>7</v>
      </c>
      <c r="B4" t="s">
        <v>63</v>
      </c>
      <c r="C4" t="s">
        <v>57</v>
      </c>
      <c r="D4" t="s">
        <v>721</v>
      </c>
      <c r="E4" t="s">
        <v>528</v>
      </c>
      <c r="F4" t="s">
        <v>722</v>
      </c>
      <c r="G4" t="s">
        <v>529</v>
      </c>
      <c r="H4" t="s">
        <v>724</v>
      </c>
    </row>
    <row r="5" customFormat="false" ht="25.0" hidden="false" customHeight="false" outlineLevel="0" collapsed="false">
      <c r="A5" t="s">
        <v>7</v>
      </c>
      <c r="B5" t="s">
        <v>77</v>
      </c>
      <c r="C5" t="s">
        <v>78</v>
      </c>
      <c r="D5" t="s">
        <v>721</v>
      </c>
      <c r="E5" t="s">
        <v>528</v>
      </c>
      <c r="F5" t="s">
        <v>725</v>
      </c>
      <c r="G5" t="s">
        <v>529</v>
      </c>
      <c r="H5" t="s">
        <v>726</v>
      </c>
    </row>
    <row r="6" customFormat="false" ht="25.0" hidden="false" customHeight="false" outlineLevel="0" collapsed="false">
      <c r="A6" t="s">
        <v>7</v>
      </c>
      <c r="B6" t="s">
        <v>92</v>
      </c>
      <c r="C6" t="s">
        <v>727</v>
      </c>
      <c r="D6" t="s">
        <v>721</v>
      </c>
      <c r="E6" t="s">
        <v>528</v>
      </c>
      <c r="F6" t="s">
        <v>728</v>
      </c>
      <c r="G6" t="s">
        <v>529</v>
      </c>
      <c r="H6" t="s">
        <v>729</v>
      </c>
    </row>
    <row r="7" customFormat="false" ht="25.0" hidden="false" customHeight="false" outlineLevel="0" collapsed="false">
      <c r="A7" t="s">
        <v>7</v>
      </c>
      <c r="B7" t="s">
        <v>113</v>
      </c>
      <c r="C7" t="s">
        <v>114</v>
      </c>
      <c r="D7" t="s">
        <v>721</v>
      </c>
      <c r="E7" t="s">
        <v>528</v>
      </c>
      <c r="F7" t="s">
        <v>730</v>
      </c>
      <c r="G7" t="s">
        <v>529</v>
      </c>
      <c r="H7" t="s">
        <v>731</v>
      </c>
    </row>
    <row r="8" customFormat="false" ht="25.0" hidden="false" customHeight="false" outlineLevel="0" collapsed="false">
      <c r="A8" t="s">
        <v>7</v>
      </c>
      <c r="B8" t="s">
        <v>119</v>
      </c>
      <c r="C8" t="s">
        <v>732</v>
      </c>
      <c r="D8" t="s">
        <v>721</v>
      </c>
      <c r="E8" t="s">
        <v>528</v>
      </c>
      <c r="F8" t="s">
        <v>728</v>
      </c>
      <c r="G8" t="s">
        <v>529</v>
      </c>
      <c r="H8" t="s">
        <v>733</v>
      </c>
    </row>
    <row r="9" customFormat="false" ht="25.0" hidden="false" customHeight="false" outlineLevel="0" collapsed="false">
      <c r="A9" t="s">
        <v>7</v>
      </c>
      <c r="B9" t="s">
        <v>129</v>
      </c>
      <c r="C9" t="s">
        <v>130</v>
      </c>
      <c r="D9" t="s">
        <v>721</v>
      </c>
      <c r="E9" t="s">
        <v>528</v>
      </c>
      <c r="F9" t="s">
        <v>725</v>
      </c>
      <c r="G9" t="s">
        <v>529</v>
      </c>
      <c r="H9" t="s">
        <v>734</v>
      </c>
    </row>
    <row r="10" customFormat="false" ht="25.0" hidden="false" customHeight="false" outlineLevel="0" collapsed="false">
      <c r="A10" t="s">
        <v>7</v>
      </c>
      <c r="B10" t="s">
        <v>140</v>
      </c>
      <c r="C10" t="s">
        <v>735</v>
      </c>
      <c r="D10" t="s">
        <v>721</v>
      </c>
      <c r="E10" t="s">
        <v>528</v>
      </c>
      <c r="F10" t="s">
        <v>728</v>
      </c>
      <c r="G10" t="s">
        <v>529</v>
      </c>
      <c r="H10" t="s">
        <v>736</v>
      </c>
    </row>
    <row r="11" customFormat="false" ht="25.0" hidden="false" customHeight="false" outlineLevel="0" collapsed="false">
      <c r="A11" t="s">
        <v>7</v>
      </c>
      <c r="B11" t="s">
        <v>167</v>
      </c>
      <c r="C11" t="s">
        <v>737</v>
      </c>
      <c r="D11" t="s">
        <v>721</v>
      </c>
      <c r="E11" t="s">
        <v>528</v>
      </c>
      <c r="F11" t="s">
        <v>725</v>
      </c>
      <c r="G11" t="s">
        <v>529</v>
      </c>
      <c r="H11" t="s">
        <v>738</v>
      </c>
    </row>
    <row r="12" customFormat="false" ht="25.0" hidden="false" customHeight="false" outlineLevel="0" collapsed="false">
      <c r="A12" t="s">
        <v>7</v>
      </c>
      <c r="B12" t="s">
        <v>195</v>
      </c>
      <c r="C12" t="s">
        <v>737</v>
      </c>
      <c r="D12" t="s">
        <v>721</v>
      </c>
      <c r="E12" t="s">
        <v>528</v>
      </c>
      <c r="F12" t="s">
        <v>725</v>
      </c>
      <c r="G12" t="s">
        <v>529</v>
      </c>
      <c r="H12" t="s">
        <v>739</v>
      </c>
    </row>
    <row r="13" customFormat="false" ht="25.0" hidden="false" customHeight="false" outlineLevel="0" collapsed="false">
      <c r="A13" t="s">
        <v>7</v>
      </c>
      <c r="B13" t="s">
        <v>208</v>
      </c>
      <c r="C13" t="s">
        <v>737</v>
      </c>
      <c r="D13" t="s">
        <v>721</v>
      </c>
      <c r="E13" t="s">
        <v>528</v>
      </c>
      <c r="F13" t="s">
        <v>722</v>
      </c>
      <c r="G13" t="s">
        <v>529</v>
      </c>
      <c r="H13" t="s">
        <v>740</v>
      </c>
    </row>
    <row r="14" customFormat="false" ht="25.0" hidden="false" customHeight="false" outlineLevel="0" collapsed="false">
      <c r="A14" t="s">
        <v>7</v>
      </c>
      <c r="B14" t="s">
        <v>249</v>
      </c>
      <c r="C14" t="s">
        <v>737</v>
      </c>
      <c r="D14" t="s">
        <v>721</v>
      </c>
      <c r="E14" t="s">
        <v>528</v>
      </c>
      <c r="F14" t="s">
        <v>722</v>
      </c>
      <c r="G14" t="s">
        <v>529</v>
      </c>
      <c r="H14" t="s">
        <v>741</v>
      </c>
    </row>
    <row r="15" customFormat="false" ht="25.0" hidden="false" customHeight="false" outlineLevel="0" collapsed="false">
      <c r="A15" t="s">
        <v>7</v>
      </c>
      <c r="B15" t="s">
        <v>270</v>
      </c>
      <c r="C15" t="s">
        <v>742</v>
      </c>
      <c r="D15" t="s">
        <v>721</v>
      </c>
      <c r="E15" t="s">
        <v>528</v>
      </c>
      <c r="F15" t="s">
        <v>730</v>
      </c>
      <c r="G15" t="s">
        <v>529</v>
      </c>
      <c r="H15" t="s">
        <v>743</v>
      </c>
    </row>
    <row r="16" customFormat="false" ht="25.0" hidden="false" customHeight="false" outlineLevel="0" collapsed="false">
      <c r="A16" t="s">
        <v>7</v>
      </c>
      <c r="B16" t="s">
        <v>285</v>
      </c>
      <c r="C16" t="s">
        <v>742</v>
      </c>
      <c r="D16" t="s">
        <v>721</v>
      </c>
      <c r="E16" t="s">
        <v>528</v>
      </c>
      <c r="F16" t="s">
        <v>728</v>
      </c>
      <c r="G16" t="s">
        <v>529</v>
      </c>
      <c r="H16" t="s">
        <v>744</v>
      </c>
    </row>
    <row r="17" customFormat="false" ht="25.0" hidden="false" customHeight="false" outlineLevel="0" collapsed="false">
      <c r="A17" t="s">
        <v>7</v>
      </c>
      <c r="B17" t="s">
        <v>290</v>
      </c>
      <c r="C17" t="s">
        <v>742</v>
      </c>
      <c r="D17" t="s">
        <v>721</v>
      </c>
      <c r="E17" t="s">
        <v>528</v>
      </c>
      <c r="F17" t="s">
        <v>728</v>
      </c>
      <c r="G17" t="s">
        <v>529</v>
      </c>
      <c r="H17" t="s">
        <v>745</v>
      </c>
    </row>
    <row r="18" customFormat="false" ht="25.0" hidden="false" customHeight="false" outlineLevel="0" collapsed="false">
      <c r="A18" t="s">
        <v>7</v>
      </c>
      <c r="B18" t="s">
        <v>305</v>
      </c>
      <c r="C18" t="s">
        <v>742</v>
      </c>
      <c r="D18" t="s">
        <v>721</v>
      </c>
      <c r="E18" t="s">
        <v>528</v>
      </c>
      <c r="F18" t="s">
        <v>728</v>
      </c>
      <c r="G18" t="s">
        <v>529</v>
      </c>
      <c r="H18" t="s">
        <v>746</v>
      </c>
    </row>
    <row r="19" customFormat="false" ht="25.0" hidden="false" customHeight="false" outlineLevel="0" collapsed="false">
      <c r="A19" t="s">
        <v>7</v>
      </c>
      <c r="B19" t="s">
        <v>330</v>
      </c>
      <c r="C19" t="s">
        <v>747</v>
      </c>
      <c r="D19" t="s">
        <v>721</v>
      </c>
      <c r="E19" t="s">
        <v>528</v>
      </c>
      <c r="F19" t="s">
        <v>730</v>
      </c>
      <c r="G19" t="s">
        <v>529</v>
      </c>
      <c r="H19" t="s">
        <v>748</v>
      </c>
    </row>
    <row r="20" customFormat="false" ht="25.0" hidden="false" customHeight="false" outlineLevel="0" collapsed="false">
      <c r="A20" t="s">
        <v>7</v>
      </c>
      <c r="B20" t="s">
        <v>352</v>
      </c>
      <c r="C20" t="s">
        <v>408</v>
      </c>
      <c r="D20" t="s">
        <v>721</v>
      </c>
      <c r="E20" t="s">
        <v>528</v>
      </c>
      <c r="F20" t="s">
        <v>730</v>
      </c>
      <c r="G20" t="s">
        <v>529</v>
      </c>
      <c r="H20" t="s">
        <v>749</v>
      </c>
    </row>
    <row r="21" customFormat="false" ht="25.0" hidden="false" customHeight="false" outlineLevel="0" collapsed="false">
      <c r="A21" t="s">
        <v>7</v>
      </c>
      <c r="B21" t="s">
        <v>750</v>
      </c>
      <c r="C21" t="s">
        <v>751</v>
      </c>
      <c r="D21" t="s">
        <v>721</v>
      </c>
      <c r="E21" t="s">
        <v>528</v>
      </c>
      <c r="F21" t="s">
        <v>728</v>
      </c>
      <c r="G21" t="s">
        <v>529</v>
      </c>
      <c r="H21" t="s">
        <v>752</v>
      </c>
    </row>
    <row r="22" customFormat="false" ht="25.0" hidden="false" customHeight="false" outlineLevel="0" collapsed="false">
      <c r="A22" t="s">
        <v>7</v>
      </c>
      <c r="B22" t="s">
        <v>517</v>
      </c>
      <c r="C22" t="s">
        <v>753</v>
      </c>
      <c r="D22" t="s">
        <v>721</v>
      </c>
      <c r="E22" t="s">
        <v>528</v>
      </c>
      <c r="F22" t="s">
        <v>722</v>
      </c>
      <c r="G22" t="s">
        <v>529</v>
      </c>
      <c r="H22" t="s">
        <v>754</v>
      </c>
    </row>
    <row r="23" customFormat="false" ht="15" hidden="false" customHeight="false" outlineLevel="0" collapsed="false">
      <c r="A23" s="2" t="s">
        <v>531</v>
      </c>
      <c r="B23" s="2"/>
      <c r="C23" s="2"/>
      <c r="D23" s="2"/>
      <c r="E23" s="2"/>
      <c r="F23" s="2"/>
      <c r="G23" s="2"/>
      <c r="H23" s="2"/>
    </row>
    <row r="24" customFormat="false" ht="15" hidden="false" customHeight="false" outlineLevel="0" collapsed="false">
      <c r="A24" s="3" t="s">
        <v>532</v>
      </c>
      <c r="B24" s="3" t="s">
        <f aca="false">COUNTA(A3:A22)</f>
        <v>755</v>
      </c>
    </row>
    <row r="25" customFormat="false" ht="15" hidden="false" customHeight="false" outlineLevel="0" collapsed="false">
      <c r="A25" s="3" t="s">
        <v>533</v>
      </c>
      <c r="B25" s="3" t="s">
        <f aca="false">COUNTIF(E3:E22,"PASS")</f>
        <v>755</v>
      </c>
    </row>
    <row r="26" customFormat="false" ht="15" hidden="false" customHeight="false" outlineLevel="0" collapsed="false">
      <c r="A26" s="3" t="s">
        <v>534</v>
      </c>
      <c r="B26" s="3" t="s">
        <f aca="false">COUNTIF(E3:E22,"FAIL")</f>
        <v>756</v>
      </c>
    </row>
    <row r="27" customFormat="false" ht="15" hidden="false" customHeight="false" outlineLevel="0" collapsed="false">
      <c r="A27" s="3" t="s">
        <v>535</v>
      </c>
      <c r="B27" s="3" t="s">
        <f aca="false">COUNTIF(E3:E22,"BLOCKED")</f>
        <v>756</v>
      </c>
    </row>
    <row r="28" customFormat="false" ht="15" hidden="false" customHeight="false" outlineLevel="0" collapsed="false">
      <c r="A28" s="3" t="s">
        <v>536</v>
      </c>
      <c r="B28" s="15" t="s">
        <f aca="false">IF(B24=0,0,B25/B24*100)</f>
        <v>757</v>
      </c>
    </row>
  </sheetData>
  <mergeCells count="2">
    <mergeCell ref="A1:H1"/>
    <mergeCell ref="A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25"/>
    <col collapsed="false" customWidth="true" hidden="false" outlineLevel="0" max="5" min="5" style="0" width="12"/>
    <col collapsed="false" customWidth="true" hidden="false" outlineLevel="0" max="8" min="6" style="0" width="15"/>
    <col collapsed="false" customWidth="true" hidden="false" outlineLevel="0" max="9" min="9" style="0" width="18"/>
  </cols>
  <sheetData>
    <row r="1" customFormat="false" ht="24.75" hidden="false" customHeight="true" outlineLevel="0" collapsed="false">
      <c r="A1" s="1" t="s">
        <v>537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9" t="s">
        <v>538</v>
      </c>
      <c r="B2" s="9" t="s">
        <v>48</v>
      </c>
      <c r="C2" s="9" t="s">
        <v>539</v>
      </c>
      <c r="D2" s="9" t="s">
        <v>540</v>
      </c>
      <c r="E2" s="9" t="s">
        <v>541</v>
      </c>
      <c r="F2" s="9" t="s">
        <v>54</v>
      </c>
      <c r="G2" s="9" t="s">
        <v>542</v>
      </c>
      <c r="H2" s="9" t="s">
        <v>543</v>
      </c>
      <c r="I2" s="9" t="s">
        <v>544</v>
      </c>
    </row>
    <row r="3" customFormat="false" ht="28.35" hidden="false" customHeight="false" outlineLevel="0" collapsed="false">
      <c r="A3" s="10" t="s">
        <v>545</v>
      </c>
      <c r="B3" s="10" t="s">
        <v>63</v>
      </c>
      <c r="C3" s="10" t="s">
        <v>546</v>
      </c>
      <c r="D3" s="10" t="s">
        <v>547</v>
      </c>
      <c r="E3" s="12" t="s">
        <v>181</v>
      </c>
      <c r="F3" s="10" t="s">
        <v>758</v>
      </c>
      <c r="G3" s="10" t="s">
        <v>549</v>
      </c>
      <c r="H3" s="10" t="s">
        <v>550</v>
      </c>
      <c r="I3" s="10" t="s">
        <v>759</v>
      </c>
    </row>
    <row r="4" customFormat="false" ht="41.75" hidden="false" customHeight="false" outlineLevel="0" collapsed="false">
      <c r="A4" s="10" t="s">
        <v>551</v>
      </c>
      <c r="B4" s="10" t="s">
        <v>167</v>
      </c>
      <c r="C4" s="10" t="s">
        <v>552</v>
      </c>
      <c r="D4" s="10" t="s">
        <v>553</v>
      </c>
      <c r="E4" s="11" t="s">
        <v>172</v>
      </c>
      <c r="F4" s="10" t="s">
        <v>758</v>
      </c>
      <c r="G4" s="10" t="s">
        <v>555</v>
      </c>
      <c r="H4" s="10" t="s">
        <v>556</v>
      </c>
      <c r="I4" s="10" t="s">
        <v>760</v>
      </c>
    </row>
    <row r="13" customFormat="false" ht="15" hidden="false" customHeight="false" outlineLevel="0" collapsed="false">
      <c r="A13" s="2" t="s">
        <v>557</v>
      </c>
      <c r="B13" s="2"/>
      <c r="C13" s="2"/>
      <c r="D13" s="2"/>
      <c r="E13" s="2"/>
      <c r="F13" s="2"/>
      <c r="G13" s="2"/>
      <c r="H13" s="2"/>
      <c r="I13" s="2"/>
    </row>
    <row r="14" customFormat="false" ht="15" hidden="false" customHeight="false" outlineLevel="0" collapsed="false">
      <c r="A14" s="3" t="s">
        <v>558</v>
      </c>
      <c r="B14" s="3" t="n">
        <f aca="false">COUNTA(A3:A12)</f>
        <v>2</v>
      </c>
    </row>
    <row r="15" customFormat="false" ht="15" hidden="false" customHeight="false" outlineLevel="0" collapsed="false">
      <c r="A15" s="3" t="s">
        <v>559</v>
      </c>
      <c r="B15" s="3" t="n">
        <f aca="false">COUNTIF(E3:E12,"CRITICAL")</f>
        <v>1</v>
      </c>
    </row>
    <row r="16" customFormat="false" ht="15" hidden="false" customHeight="false" outlineLevel="0" collapsed="false">
      <c r="A16" s="3" t="s">
        <v>560</v>
      </c>
      <c r="B16" s="3" t="n">
        <f aca="false">COUNTIF(E3:E12,"HIGH")</f>
        <v>1</v>
      </c>
    </row>
    <row r="17" customFormat="false" ht="15" hidden="false" customHeight="false" outlineLevel="0" collapsed="false">
      <c r="A17" s="3" t="s">
        <v>561</v>
      </c>
      <c r="B17" s="3" t="n">
        <f aca="false">COUNTIF(E3:E12,"MEDIUM")</f>
        <v>0</v>
      </c>
    </row>
    <row r="18" customFormat="false" ht="15" hidden="false" customHeight="false" outlineLevel="0" collapsed="false">
      <c r="A18" s="3" t="s">
        <v>562</v>
      </c>
      <c r="B18" s="3" t="n">
        <f aca="false">COUNTIF(E3:E12,"LOW")</f>
        <v>0</v>
      </c>
    </row>
    <row r="19" customFormat="false" ht="15" hidden="false" customHeight="false" outlineLevel="0" collapsed="false">
      <c r="A19" s="3" t="s">
        <v>563</v>
      </c>
      <c r="B19" s="3" t="s">
        <f aca="false">COUNTIF(F3:F12,"Open")</f>
        <v>756</v>
      </c>
    </row>
    <row r="20" customFormat="false" ht="15" hidden="false" customHeight="false" outlineLevel="0" collapsed="false">
      <c r="A20" s="3" t="s">
        <v>564</v>
      </c>
      <c r="B20" s="3" t="s">
        <f aca="false">COUNTIF(F3:F12,"Resolved")</f>
        <v>722</v>
      </c>
    </row>
  </sheetData>
  <mergeCells count="2">
    <mergeCell ref="A1:I1"/>
    <mergeCell ref="A13:I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5" min="3" style="0" width="12"/>
    <col collapsed="false" customWidth="true" hidden="false" outlineLevel="0" max="6" min="6" style="0" width="30"/>
    <col collapsed="false" customWidth="true" hidden="false" outlineLevel="0" max="7" min="7" style="0" width="15"/>
  </cols>
  <sheetData>
    <row r="1" customFormat="false" ht="24.75" hidden="false" customHeight="true" outlineLevel="0" collapsed="false">
      <c r="A1" s="1" t="s">
        <v>565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9" t="s">
        <v>566</v>
      </c>
      <c r="B2" s="9" t="s">
        <v>567</v>
      </c>
      <c r="C2" s="9" t="s">
        <v>568</v>
      </c>
      <c r="D2" s="9" t="s">
        <v>569</v>
      </c>
      <c r="E2" s="9" t="s">
        <v>570</v>
      </c>
      <c r="F2" s="9" t="s">
        <v>571</v>
      </c>
      <c r="G2" s="9" t="s">
        <v>572</v>
      </c>
    </row>
    <row r="3" customFormat="false" ht="28.35" hidden="false" customHeight="false" outlineLevel="0" collapsed="false">
      <c r="A3" s="10" t="s">
        <v>573</v>
      </c>
      <c r="B3" s="10" t="s">
        <v>574</v>
      </c>
      <c r="C3" s="10" t="s">
        <v>575</v>
      </c>
      <c r="D3" s="10" t="s">
        <v>576</v>
      </c>
      <c r="E3" s="11" t="s">
        <v>172</v>
      </c>
      <c r="F3" s="10" t="s">
        <v>577</v>
      </c>
      <c r="G3" s="10" t="s">
        <v>578</v>
      </c>
    </row>
    <row r="4" customFormat="false" ht="28.35" hidden="false" customHeight="false" outlineLevel="0" collapsed="false">
      <c r="A4" s="10" t="s">
        <v>579</v>
      </c>
      <c r="B4" s="10" t="s">
        <v>580</v>
      </c>
      <c r="C4" s="10" t="s">
        <v>581</v>
      </c>
      <c r="D4" s="10" t="s">
        <v>575</v>
      </c>
      <c r="E4" s="12" t="s">
        <v>181</v>
      </c>
      <c r="F4" s="10" t="s">
        <v>582</v>
      </c>
      <c r="G4" s="10" t="s">
        <v>583</v>
      </c>
    </row>
    <row r="5" customFormat="false" ht="28.35" hidden="false" customHeight="false" outlineLevel="0" collapsed="false">
      <c r="A5" s="10" t="s">
        <v>584</v>
      </c>
      <c r="B5" s="10" t="s">
        <v>585</v>
      </c>
      <c r="C5" s="10" t="s">
        <v>586</v>
      </c>
      <c r="D5" s="10" t="s">
        <v>576</v>
      </c>
      <c r="E5" s="11" t="s">
        <v>172</v>
      </c>
      <c r="F5" s="10" t="s">
        <v>587</v>
      </c>
      <c r="G5" s="10" t="s">
        <v>588</v>
      </c>
    </row>
    <row r="6" customFormat="false" ht="28.35" hidden="false" customHeight="false" outlineLevel="0" collapsed="false">
      <c r="A6" s="10" t="s">
        <v>589</v>
      </c>
      <c r="B6" s="10" t="s">
        <v>590</v>
      </c>
      <c r="C6" s="10" t="s">
        <v>581</v>
      </c>
      <c r="D6" s="10" t="s">
        <v>575</v>
      </c>
      <c r="E6" s="12" t="s">
        <v>181</v>
      </c>
      <c r="F6" s="10" t="s">
        <v>591</v>
      </c>
      <c r="G6" s="10" t="s">
        <v>592</v>
      </c>
    </row>
    <row r="7" customFormat="false" ht="28.35" hidden="false" customHeight="false" outlineLevel="0" collapsed="false">
      <c r="A7" s="10" t="s">
        <v>593</v>
      </c>
      <c r="B7" s="10" t="s">
        <v>594</v>
      </c>
      <c r="C7" s="10" t="s">
        <v>586</v>
      </c>
      <c r="D7" s="10" t="s">
        <v>581</v>
      </c>
      <c r="E7" s="10" t="s">
        <v>234</v>
      </c>
      <c r="F7" s="10" t="s">
        <v>595</v>
      </c>
      <c r="G7" s="10" t="s">
        <v>596</v>
      </c>
    </row>
    <row r="8" customFormat="false" ht="28.35" hidden="false" customHeight="false" outlineLevel="0" collapsed="false">
      <c r="A8" s="10" t="s">
        <v>597</v>
      </c>
      <c r="B8" s="10" t="s">
        <v>598</v>
      </c>
      <c r="C8" s="10" t="s">
        <v>581</v>
      </c>
      <c r="D8" s="10" t="s">
        <v>575</v>
      </c>
      <c r="E8" s="12" t="s">
        <v>181</v>
      </c>
      <c r="F8" s="10" t="s">
        <v>599</v>
      </c>
      <c r="G8" s="10" t="s">
        <v>600</v>
      </c>
    </row>
    <row r="9" customFormat="false" ht="28.35" hidden="false" customHeight="false" outlineLevel="0" collapsed="false">
      <c r="A9" s="10" t="s">
        <v>601</v>
      </c>
      <c r="B9" s="10" t="s">
        <v>602</v>
      </c>
      <c r="C9" s="10" t="s">
        <v>581</v>
      </c>
      <c r="D9" s="10" t="s">
        <v>581</v>
      </c>
      <c r="E9" s="10" t="s">
        <v>234</v>
      </c>
      <c r="F9" s="10" t="s">
        <v>603</v>
      </c>
      <c r="G9" s="10" t="s">
        <v>604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5"/>
    <col collapsed="false" customWidth="true" hidden="false" outlineLevel="0" max="3" min="3" style="0" width="15"/>
    <col collapsed="false" customWidth="true" hidden="false" outlineLevel="0" max="4" min="4" style="0" width="25"/>
  </cols>
  <sheetData>
    <row r="1" customFormat="false" ht="24.75" hidden="false" customHeight="true" outlineLevel="0" collapsed="false">
      <c r="A1" s="1" t="s">
        <v>605</v>
      </c>
      <c r="B1" s="1"/>
      <c r="C1" s="1"/>
      <c r="D1" s="1"/>
    </row>
    <row r="2" customFormat="false" ht="23.85" hidden="false" customHeight="false" outlineLevel="0" collapsed="false">
      <c r="A2" s="9" t="s">
        <v>606</v>
      </c>
      <c r="B2" s="9" t="s">
        <v>607</v>
      </c>
      <c r="C2" s="9" t="s">
        <v>608</v>
      </c>
      <c r="D2" s="9" t="s">
        <v>609</v>
      </c>
    </row>
    <row r="3" customFormat="false" ht="15" hidden="false" customHeight="false" outlineLevel="0" collapsed="false">
      <c r="A3" s="10" t="s">
        <v>610</v>
      </c>
      <c r="B3" s="10" t="s">
        <v>611</v>
      </c>
      <c r="C3" s="10" t="s">
        <v>761</v>
      </c>
      <c r="D3" s="10" t="s">
        <v>762</v>
      </c>
    </row>
    <row r="4" customFormat="false" ht="15" hidden="false" customHeight="false" outlineLevel="0" collapsed="false">
      <c r="A4" s="10" t="s">
        <v>610</v>
      </c>
      <c r="B4" s="10" t="s">
        <v>613</v>
      </c>
      <c r="C4" s="10" t="s">
        <v>761</v>
      </c>
      <c r="D4" s="10" t="s">
        <v>763</v>
      </c>
    </row>
    <row r="5" customFormat="false" ht="15" hidden="false" customHeight="false" outlineLevel="0" collapsed="false">
      <c r="A5" s="10" t="s">
        <v>610</v>
      </c>
      <c r="B5" s="10" t="s">
        <v>614</v>
      </c>
      <c r="C5" s="10" t="s">
        <v>761</v>
      </c>
      <c r="D5" s="10" t="s">
        <v>764</v>
      </c>
    </row>
    <row r="6" customFormat="false" ht="15" hidden="false" customHeight="false" outlineLevel="0" collapsed="false">
      <c r="A6" s="10" t="s">
        <v>610</v>
      </c>
      <c r="B6" s="10" t="s">
        <v>615</v>
      </c>
      <c r="C6" s="10" t="s">
        <v>761</v>
      </c>
      <c r="D6" s="10" t="s">
        <v>765</v>
      </c>
    </row>
    <row r="7" customFormat="false" ht="15" hidden="false" customHeight="false" outlineLevel="0" collapsed="false">
      <c r="A7" s="10" t="s">
        <v>610</v>
      </c>
      <c r="B7" s="10" t="s">
        <v>616</v>
      </c>
      <c r="C7" s="10" t="s">
        <v>761</v>
      </c>
      <c r="D7" s="10" t="s">
        <v>766</v>
      </c>
    </row>
    <row r="8" customFormat="false" ht="15" hidden="false" customHeight="false" outlineLevel="0" collapsed="false">
      <c r="A8" s="10" t="s">
        <v>162</v>
      </c>
      <c r="B8" s="10" t="s">
        <v>617</v>
      </c>
      <c r="C8" s="10" t="s">
        <v>761</v>
      </c>
      <c r="D8" s="10" t="s">
        <v>767</v>
      </c>
    </row>
    <row r="9" customFormat="false" ht="15" hidden="false" customHeight="false" outlineLevel="0" collapsed="false">
      <c r="A9" s="10" t="s">
        <v>162</v>
      </c>
      <c r="B9" s="10" t="s">
        <v>618</v>
      </c>
      <c r="C9" s="10" t="s">
        <v>761</v>
      </c>
      <c r="D9" s="10" t="s">
        <v>768</v>
      </c>
    </row>
    <row r="10" customFormat="false" ht="15" hidden="false" customHeight="false" outlineLevel="0" collapsed="false">
      <c r="A10" s="10" t="s">
        <v>162</v>
      </c>
      <c r="B10" s="10" t="s">
        <v>619</v>
      </c>
      <c r="C10" s="10" t="s">
        <v>761</v>
      </c>
      <c r="D10" s="10" t="s">
        <v>769</v>
      </c>
    </row>
    <row r="11" customFormat="false" ht="15" hidden="false" customHeight="false" outlineLevel="0" collapsed="false">
      <c r="A11" s="10" t="s">
        <v>162</v>
      </c>
      <c r="B11" s="10" t="s">
        <v>620</v>
      </c>
      <c r="C11" s="10" t="s">
        <v>761</v>
      </c>
      <c r="D11" s="10" t="s">
        <v>770</v>
      </c>
    </row>
    <row r="12" customFormat="false" ht="15" hidden="false" customHeight="false" outlineLevel="0" collapsed="false">
      <c r="A12" s="10" t="s">
        <v>162</v>
      </c>
      <c r="B12" s="10" t="s">
        <v>621</v>
      </c>
      <c r="C12" s="10" t="s">
        <v>761</v>
      </c>
      <c r="D12" s="10" t="s">
        <v>771</v>
      </c>
    </row>
    <row r="13" customFormat="false" ht="15" hidden="false" customHeight="false" outlineLevel="0" collapsed="false">
      <c r="A13" s="10" t="s">
        <v>622</v>
      </c>
      <c r="B13" s="10" t="s">
        <v>623</v>
      </c>
      <c r="C13" s="10" t="s">
        <v>761</v>
      </c>
      <c r="D13" s="10" t="s">
        <v>772</v>
      </c>
    </row>
    <row r="14" customFormat="false" ht="15" hidden="false" customHeight="false" outlineLevel="0" collapsed="false">
      <c r="A14" s="10" t="s">
        <v>622</v>
      </c>
      <c r="B14" s="10" t="s">
        <v>624</v>
      </c>
      <c r="C14" s="10" t="s">
        <v>761</v>
      </c>
      <c r="D14" s="10" t="s">
        <v>773</v>
      </c>
    </row>
    <row r="15" customFormat="false" ht="15" hidden="false" customHeight="false" outlineLevel="0" collapsed="false">
      <c r="A15" s="10" t="s">
        <v>622</v>
      </c>
      <c r="B15" s="10" t="s">
        <v>625</v>
      </c>
      <c r="C15" s="10" t="s">
        <v>761</v>
      </c>
      <c r="D15" s="10" t="s">
        <v>774</v>
      </c>
    </row>
    <row r="16" customFormat="false" ht="15" hidden="false" customHeight="false" outlineLevel="0" collapsed="false">
      <c r="A16" s="10" t="s">
        <v>622</v>
      </c>
      <c r="B16" s="10" t="s">
        <v>626</v>
      </c>
      <c r="C16" s="10" t="s">
        <v>761</v>
      </c>
      <c r="D16" s="10" t="s">
        <v>775</v>
      </c>
    </row>
    <row r="17" customFormat="false" ht="15" hidden="false" customHeight="false" outlineLevel="0" collapsed="false">
      <c r="A17" s="10" t="s">
        <v>627</v>
      </c>
      <c r="B17" s="10" t="s">
        <v>628</v>
      </c>
      <c r="C17" s="10" t="s">
        <v>761</v>
      </c>
      <c r="D17" s="10" t="s">
        <v>776</v>
      </c>
    </row>
    <row r="18" customFormat="false" ht="15" hidden="false" customHeight="false" outlineLevel="0" collapsed="false">
      <c r="A18" s="10" t="s">
        <v>627</v>
      </c>
      <c r="B18" s="10" t="s">
        <v>629</v>
      </c>
      <c r="C18" s="10" t="s">
        <v>761</v>
      </c>
      <c r="D18" s="10" t="s">
        <v>777</v>
      </c>
    </row>
    <row r="19" customFormat="false" ht="15" hidden="false" customHeight="false" outlineLevel="0" collapsed="false">
      <c r="A19" s="10" t="s">
        <v>627</v>
      </c>
      <c r="B19" s="10" t="s">
        <v>630</v>
      </c>
      <c r="C19" s="10" t="s">
        <v>761</v>
      </c>
      <c r="D19" s="10" t="s">
        <v>778</v>
      </c>
    </row>
    <row r="20" customFormat="false" ht="15" hidden="false" customHeight="false" outlineLevel="0" collapsed="false">
      <c r="A20" s="10" t="s">
        <v>627</v>
      </c>
      <c r="B20" s="10" t="s">
        <v>631</v>
      </c>
      <c r="C20" s="10" t="s">
        <v>761</v>
      </c>
      <c r="D20" s="10" t="s">
        <v>779</v>
      </c>
    </row>
    <row r="21" customFormat="false" ht="15" hidden="false" customHeight="false" outlineLevel="0" collapsed="false">
      <c r="A21" s="10" t="s">
        <v>627</v>
      </c>
      <c r="B21" s="10" t="s">
        <v>632</v>
      </c>
      <c r="C21" s="10" t="s">
        <v>761</v>
      </c>
      <c r="D21" s="10" t="s">
        <v>780</v>
      </c>
    </row>
    <row r="22" customFormat="false" ht="15" hidden="false" customHeight="false" outlineLevel="0" collapsed="false">
      <c r="A22" s="10" t="s">
        <v>633</v>
      </c>
      <c r="B22" s="10" t="s">
        <v>634</v>
      </c>
      <c r="C22" s="10" t="s">
        <v>761</v>
      </c>
      <c r="D22" s="10" t="s">
        <v>781</v>
      </c>
    </row>
    <row r="23" customFormat="false" ht="15" hidden="false" customHeight="false" outlineLevel="0" collapsed="false">
      <c r="A23" s="10" t="s">
        <v>633</v>
      </c>
      <c r="B23" s="10" t="s">
        <v>635</v>
      </c>
      <c r="C23" s="10" t="s">
        <v>761</v>
      </c>
      <c r="D23" s="10" t="s">
        <v>782</v>
      </c>
    </row>
    <row r="24" customFormat="false" ht="15" hidden="false" customHeight="false" outlineLevel="0" collapsed="false">
      <c r="A24" s="10" t="s">
        <v>633</v>
      </c>
      <c r="B24" s="10" t="s">
        <v>636</v>
      </c>
      <c r="C24" s="10" t="s">
        <v>761</v>
      </c>
      <c r="D24" s="10" t="s">
        <v>783</v>
      </c>
    </row>
    <row r="25" customFormat="false" ht="15" hidden="false" customHeight="false" outlineLevel="0" collapsed="false">
      <c r="A25" s="10" t="s">
        <v>633</v>
      </c>
      <c r="B25" s="10" t="s">
        <v>637</v>
      </c>
      <c r="C25" s="10" t="s">
        <v>761</v>
      </c>
      <c r="D25" s="10" t="s">
        <v>784</v>
      </c>
    </row>
    <row r="26" customFormat="false" ht="15" hidden="false" customHeight="false" outlineLevel="0" collapsed="false">
      <c r="A26" s="10" t="s">
        <v>633</v>
      </c>
      <c r="B26" s="10" t="s">
        <v>638</v>
      </c>
      <c r="C26" s="10" t="s">
        <v>761</v>
      </c>
      <c r="D26" s="10" t="s">
        <v>785</v>
      </c>
    </row>
    <row r="27" customFormat="false" ht="15" hidden="false" customHeight="false" outlineLevel="0" collapsed="false">
      <c r="A27" s="10" t="s">
        <v>408</v>
      </c>
      <c r="B27" s="10" t="s">
        <v>639</v>
      </c>
      <c r="C27" s="10" t="s">
        <v>761</v>
      </c>
      <c r="D27" s="10" t="s">
        <v>786</v>
      </c>
    </row>
    <row r="28" customFormat="false" ht="15" hidden="false" customHeight="false" outlineLevel="0" collapsed="false">
      <c r="A28" s="10" t="s">
        <v>408</v>
      </c>
      <c r="B28" s="10" t="s">
        <v>640</v>
      </c>
      <c r="C28" s="10" t="s">
        <v>761</v>
      </c>
      <c r="D28" s="10" t="s">
        <v>787</v>
      </c>
    </row>
    <row r="29" customFormat="false" ht="15" hidden="false" customHeight="false" outlineLevel="0" collapsed="false">
      <c r="A29" s="10" t="s">
        <v>408</v>
      </c>
      <c r="B29" s="10" t="s">
        <v>641</v>
      </c>
      <c r="C29" s="10" t="s">
        <v>761</v>
      </c>
      <c r="D29" s="10" t="s">
        <v>788</v>
      </c>
    </row>
    <row r="30" customFormat="false" ht="15" hidden="false" customHeight="false" outlineLevel="0" collapsed="false">
      <c r="A30" s="10" t="s">
        <v>408</v>
      </c>
      <c r="B30" s="10" t="s">
        <v>642</v>
      </c>
      <c r="C30" s="10" t="s">
        <v>761</v>
      </c>
      <c r="D30" s="10" t="s">
        <v>789</v>
      </c>
    </row>
    <row r="31" customFormat="false" ht="15" hidden="false" customHeight="false" outlineLevel="0" collapsed="false">
      <c r="A31" s="10" t="s">
        <v>643</v>
      </c>
      <c r="B31" s="10" t="s">
        <v>644</v>
      </c>
      <c r="C31" s="10" t="s">
        <v>761</v>
      </c>
      <c r="D31" s="10" t="s">
        <v>790</v>
      </c>
    </row>
    <row r="32" customFormat="false" ht="15" hidden="false" customHeight="false" outlineLevel="0" collapsed="false">
      <c r="A32" s="10" t="s">
        <v>643</v>
      </c>
      <c r="B32" s="10" t="s">
        <v>645</v>
      </c>
      <c r="C32" s="10" t="s">
        <v>761</v>
      </c>
      <c r="D32" s="10" t="s">
        <v>791</v>
      </c>
    </row>
    <row r="33" customFormat="false" ht="15" hidden="false" customHeight="false" outlineLevel="0" collapsed="false">
      <c r="A33" s="10" t="s">
        <v>643</v>
      </c>
      <c r="B33" s="10" t="s">
        <v>646</v>
      </c>
      <c r="C33" s="10" t="s">
        <v>761</v>
      </c>
      <c r="D33" s="10" t="s">
        <v>792</v>
      </c>
    </row>
    <row r="34" customFormat="false" ht="15" hidden="false" customHeight="false" outlineLevel="0" collapsed="false">
      <c r="A34" s="10" t="s">
        <v>643</v>
      </c>
      <c r="B34" s="10" t="s">
        <v>647</v>
      </c>
      <c r="C34" s="10" t="s">
        <v>761</v>
      </c>
      <c r="D34" s="10" t="s">
        <v>793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2026-09-13T07:50:33Z</dcterms:created>
  <dc:creator>openpyxl</dc:creator>
  <dc:description/>
  <dc:language>en-US</dc:language>
  <cp:lastModifiedBy/>
  <dcterms:modified xsi:type="dcterms:W3CDTF">2026-09-13T07:50:33Z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